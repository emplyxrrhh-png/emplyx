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Work\CEGID\VTLiveHA\Src\Common\DBScript\SQLUpgradeVersion\Database Texts\"/>
    </mc:Choice>
  </mc:AlternateContent>
  <xr:revisionPtr revIDLastSave="0" documentId="13_ncr:1_{18474908-AAEE-4CCB-B8F5-13BC59A9C530}" xr6:coauthVersionLast="47" xr6:coauthVersionMax="47" xr10:uidLastSave="{00000000-0000-0000-0000-000000000000}"/>
  <bookViews>
    <workbookView xWindow="-120" yWindow="-120" windowWidth="29040" windowHeight="15720" xr2:uid="{78F5AC66-207B-4D97-944D-E61B9939069B}"/>
  </bookViews>
  <sheets>
    <sheet name="Database ESP" sheetId="2" r:id="rId1"/>
    <sheet name="Hoj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2" i="2" l="1"/>
  <c r="C142" i="2" s="1"/>
  <c r="B143" i="2"/>
  <c r="C143" i="2" s="1"/>
  <c r="B144" i="2"/>
  <c r="C144" i="2" s="1"/>
  <c r="B145" i="2"/>
  <c r="E145" i="2" s="1"/>
  <c r="B146" i="2"/>
  <c r="C146" i="2" s="1"/>
  <c r="B147" i="2"/>
  <c r="C147" i="2" s="1"/>
  <c r="F142" i="2"/>
  <c r="F143" i="2"/>
  <c r="F144" i="2"/>
  <c r="F145" i="2"/>
  <c r="F146" i="2"/>
  <c r="F147"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B120" i="2"/>
  <c r="D120" i="2" s="1"/>
  <c r="B121" i="2"/>
  <c r="D121" i="2" s="1"/>
  <c r="B122" i="2"/>
  <c r="C122" i="2" s="1"/>
  <c r="B123" i="2"/>
  <c r="D123" i="2" s="1"/>
  <c r="B124" i="2"/>
  <c r="D124" i="2" s="1"/>
  <c r="B125" i="2"/>
  <c r="C125" i="2" s="1"/>
  <c r="B126" i="2"/>
  <c r="C126" i="2" s="1"/>
  <c r="B127" i="2"/>
  <c r="D127" i="2" s="1"/>
  <c r="B128" i="2"/>
  <c r="D128" i="2" s="1"/>
  <c r="B129" i="2"/>
  <c r="E129" i="2" s="1"/>
  <c r="B130" i="2"/>
  <c r="C130" i="2" s="1"/>
  <c r="B131" i="2"/>
  <c r="D131" i="2" s="1"/>
  <c r="B132" i="2"/>
  <c r="D132" i="2" s="1"/>
  <c r="B133" i="2"/>
  <c r="C133" i="2" s="1"/>
  <c r="B134" i="2"/>
  <c r="C134" i="2" s="1"/>
  <c r="B135" i="2"/>
  <c r="D135" i="2" s="1"/>
  <c r="B136" i="2"/>
  <c r="D136" i="2" s="1"/>
  <c r="B137" i="2"/>
  <c r="E137" i="2" s="1"/>
  <c r="B138" i="2"/>
  <c r="C138" i="2" s="1"/>
  <c r="B139" i="2"/>
  <c r="D139" i="2" s="1"/>
  <c r="B140" i="2"/>
  <c r="D140" i="2" s="1"/>
  <c r="B141" i="2"/>
  <c r="C141" i="2" s="1"/>
  <c r="B3" i="2"/>
  <c r="D3" i="2" s="1"/>
  <c r="B4" i="2"/>
  <c r="E4" i="2" s="1"/>
  <c r="B5" i="2"/>
  <c r="D5" i="2" s="1"/>
  <c r="B6" i="2"/>
  <c r="E6" i="2" s="1"/>
  <c r="B7" i="2"/>
  <c r="E7" i="2" s="1"/>
  <c r="B8" i="2"/>
  <c r="D8" i="2" s="1"/>
  <c r="B9" i="2"/>
  <c r="D9" i="2" s="1"/>
  <c r="B10" i="2"/>
  <c r="C10" i="2" s="1"/>
  <c r="B11" i="2"/>
  <c r="E11" i="2" s="1"/>
  <c r="B12" i="2"/>
  <c r="E12" i="2" s="1"/>
  <c r="B13" i="2"/>
  <c r="B14" i="2"/>
  <c r="C14" i="2" s="1"/>
  <c r="B15" i="2"/>
  <c r="C15" i="2" s="1"/>
  <c r="B16" i="2"/>
  <c r="D16" i="2" s="1"/>
  <c r="B17" i="2"/>
  <c r="D17" i="2" s="1"/>
  <c r="B18" i="2"/>
  <c r="E18" i="2" s="1"/>
  <c r="B19" i="2"/>
  <c r="D19" i="2" s="1"/>
  <c r="B20" i="2"/>
  <c r="C20" i="2" s="1"/>
  <c r="B21" i="2"/>
  <c r="D21" i="2" s="1"/>
  <c r="B22" i="2"/>
  <c r="D22" i="2" s="1"/>
  <c r="B23" i="2"/>
  <c r="B24" i="2"/>
  <c r="D24" i="2" s="1"/>
  <c r="B25" i="2"/>
  <c r="D25" i="2" s="1"/>
  <c r="B26" i="2"/>
  <c r="D26" i="2" s="1"/>
  <c r="B27" i="2"/>
  <c r="C27" i="2" s="1"/>
  <c r="B28" i="2"/>
  <c r="E28" i="2" s="1"/>
  <c r="B29" i="2"/>
  <c r="B30" i="2"/>
  <c r="E30" i="2" s="1"/>
  <c r="B31" i="2"/>
  <c r="D31" i="2" s="1"/>
  <c r="B32" i="2"/>
  <c r="D32" i="2" s="1"/>
  <c r="B33" i="2"/>
  <c r="D33" i="2" s="1"/>
  <c r="B34" i="2"/>
  <c r="C34" i="2" s="1"/>
  <c r="B35" i="2"/>
  <c r="E35" i="2" s="1"/>
  <c r="B36" i="2"/>
  <c r="D36" i="2" s="1"/>
  <c r="B37" i="2"/>
  <c r="E37" i="2" s="1"/>
  <c r="B38" i="2"/>
  <c r="D38" i="2" s="1"/>
  <c r="B39" i="2"/>
  <c r="C39" i="2" s="1"/>
  <c r="B40" i="2"/>
  <c r="D40" i="2" s="1"/>
  <c r="B41" i="2"/>
  <c r="D41" i="2" s="1"/>
  <c r="B42" i="2"/>
  <c r="C42" i="2" s="1"/>
  <c r="B43" i="2"/>
  <c r="D43" i="2" s="1"/>
  <c r="B44" i="2"/>
  <c r="E44" i="2" s="1"/>
  <c r="B45" i="2"/>
  <c r="B46" i="2"/>
  <c r="D46" i="2" s="1"/>
  <c r="B47" i="2"/>
  <c r="D47" i="2" s="1"/>
  <c r="B48" i="2"/>
  <c r="D48" i="2" s="1"/>
  <c r="B49" i="2"/>
  <c r="D49" i="2" s="1"/>
  <c r="B50" i="2"/>
  <c r="E50" i="2" s="1"/>
  <c r="B51" i="2"/>
  <c r="E51" i="2" s="1"/>
  <c r="B52" i="2"/>
  <c r="E52" i="2" s="1"/>
  <c r="B53" i="2"/>
  <c r="E53" i="2" s="1"/>
  <c r="B54" i="2"/>
  <c r="D54" i="2" s="1"/>
  <c r="B55" i="2"/>
  <c r="D55" i="2" s="1"/>
  <c r="B56" i="2"/>
  <c r="D56" i="2" s="1"/>
  <c r="B57" i="2"/>
  <c r="D57" i="2" s="1"/>
  <c r="B58" i="2"/>
  <c r="D58" i="2" s="1"/>
  <c r="B59" i="2"/>
  <c r="E59" i="2" s="1"/>
  <c r="B60" i="2"/>
  <c r="C60" i="2" s="1"/>
  <c r="B61" i="2"/>
  <c r="C61" i="2" s="1"/>
  <c r="B62" i="2"/>
  <c r="C62" i="2" s="1"/>
  <c r="B63" i="2"/>
  <c r="E63" i="2" s="1"/>
  <c r="B64" i="2"/>
  <c r="D64" i="2" s="1"/>
  <c r="B65" i="2"/>
  <c r="D65" i="2" s="1"/>
  <c r="B66" i="2"/>
  <c r="C66" i="2" s="1"/>
  <c r="B67" i="2"/>
  <c r="D67" i="2" s="1"/>
  <c r="B68" i="2"/>
  <c r="D68" i="2" s="1"/>
  <c r="B69" i="2"/>
  <c r="E69" i="2" s="1"/>
  <c r="B70" i="2"/>
  <c r="D70" i="2" s="1"/>
  <c r="B71" i="2"/>
  <c r="D71" i="2" s="1"/>
  <c r="B72" i="2"/>
  <c r="D72" i="2" s="1"/>
  <c r="B73" i="2"/>
  <c r="D73" i="2" s="1"/>
  <c r="B74" i="2"/>
  <c r="C74" i="2" s="1"/>
  <c r="B75" i="2"/>
  <c r="E75" i="2" s="1"/>
  <c r="B76" i="2"/>
  <c r="E76" i="2" s="1"/>
  <c r="B77" i="2"/>
  <c r="B78" i="2"/>
  <c r="D78" i="2" s="1"/>
  <c r="B79" i="2"/>
  <c r="D79" i="2" s="1"/>
  <c r="B80" i="2"/>
  <c r="D80" i="2" s="1"/>
  <c r="B81" i="2"/>
  <c r="D81" i="2" s="1"/>
  <c r="B82" i="2"/>
  <c r="E82" i="2" s="1"/>
  <c r="B83" i="2"/>
  <c r="E83" i="2" s="1"/>
  <c r="B84" i="2"/>
  <c r="E84" i="2" s="1"/>
  <c r="B85" i="2"/>
  <c r="B86" i="2"/>
  <c r="B87" i="2"/>
  <c r="B88" i="2"/>
  <c r="D88" i="2" s="1"/>
  <c r="B89" i="2"/>
  <c r="D89" i="2" s="1"/>
  <c r="B90" i="2"/>
  <c r="D90" i="2" s="1"/>
  <c r="B91" i="2"/>
  <c r="C91" i="2" s="1"/>
  <c r="B92" i="2"/>
  <c r="E92" i="2" s="1"/>
  <c r="B93" i="2"/>
  <c r="E93" i="2" s="1"/>
  <c r="B94" i="2"/>
  <c r="E94" i="2" s="1"/>
  <c r="B95" i="2"/>
  <c r="D95" i="2" s="1"/>
  <c r="B96" i="2"/>
  <c r="D96" i="2" s="1"/>
  <c r="B97" i="2"/>
  <c r="D97" i="2" s="1"/>
  <c r="B98" i="2"/>
  <c r="C98" i="2" s="1"/>
  <c r="B99" i="2"/>
  <c r="E99" i="2" s="1"/>
  <c r="B100" i="2"/>
  <c r="C100" i="2" s="1"/>
  <c r="B101" i="2"/>
  <c r="D101" i="2" s="1"/>
  <c r="B102" i="2"/>
  <c r="E102" i="2" s="1"/>
  <c r="B103" i="2"/>
  <c r="E103" i="2" s="1"/>
  <c r="B104" i="2"/>
  <c r="D104" i="2" s="1"/>
  <c r="B105" i="2"/>
  <c r="C105" i="2" s="1"/>
  <c r="B106" i="2"/>
  <c r="B107" i="2"/>
  <c r="E107" i="2" s="1"/>
  <c r="B108" i="2"/>
  <c r="B109" i="2"/>
  <c r="E109" i="2" s="1"/>
  <c r="B110" i="2"/>
  <c r="C110" i="2" s="1"/>
  <c r="B111" i="2"/>
  <c r="C111" i="2" s="1"/>
  <c r="B112" i="2"/>
  <c r="D112" i="2" s="1"/>
  <c r="B113" i="2"/>
  <c r="D113" i="2" s="1"/>
  <c r="B114" i="2"/>
  <c r="E114" i="2" s="1"/>
  <c r="B115" i="2"/>
  <c r="E115" i="2" s="1"/>
  <c r="B116" i="2"/>
  <c r="D116" i="2" s="1"/>
  <c r="B117" i="2"/>
  <c r="E117" i="2" s="1"/>
  <c r="B118" i="2"/>
  <c r="E118" i="2" s="1"/>
  <c r="B119" i="2"/>
  <c r="D119" i="2" s="1"/>
  <c r="B2" i="2"/>
  <c r="D20" i="2" l="1"/>
  <c r="D12" i="2"/>
  <c r="D143" i="2"/>
  <c r="D44" i="2"/>
  <c r="C3" i="2"/>
  <c r="E27" i="2"/>
  <c r="D146" i="2"/>
  <c r="D145" i="2"/>
  <c r="C145" i="2"/>
  <c r="E146" i="2"/>
  <c r="D144" i="2"/>
  <c r="E147" i="2"/>
  <c r="D147" i="2"/>
  <c r="D35" i="2"/>
  <c r="E3" i="2"/>
  <c r="N3" i="2" s="1"/>
  <c r="D27" i="2"/>
  <c r="C43" i="2"/>
  <c r="E143" i="2"/>
  <c r="C35" i="2"/>
  <c r="C11" i="2"/>
  <c r="E43" i="2"/>
  <c r="E19" i="2"/>
  <c r="E144" i="2"/>
  <c r="C19" i="2"/>
  <c r="D11" i="2"/>
  <c r="E60" i="2"/>
  <c r="E46" i="2"/>
  <c r="C92" i="2"/>
  <c r="D83" i="2"/>
  <c r="C59" i="2"/>
  <c r="D51" i="2"/>
  <c r="E67" i="2"/>
  <c r="C46" i="2"/>
  <c r="D14" i="2"/>
  <c r="E22" i="2"/>
  <c r="C6" i="2"/>
  <c r="C30" i="2"/>
  <c r="E142" i="2"/>
  <c r="S142" i="2" s="1"/>
  <c r="D94" i="2"/>
  <c r="D142" i="2"/>
  <c r="C94" i="2"/>
  <c r="D62" i="2"/>
  <c r="E26" i="2"/>
  <c r="C50" i="2"/>
  <c r="C26" i="2"/>
  <c r="C58" i="2"/>
  <c r="D100" i="2"/>
  <c r="E58" i="2"/>
  <c r="C18" i="2"/>
  <c r="C116" i="2"/>
  <c r="D115" i="2"/>
  <c r="C108" i="2"/>
  <c r="D107" i="2"/>
  <c r="C9" i="2"/>
  <c r="C82" i="2"/>
  <c r="C49" i="2"/>
  <c r="E90" i="2"/>
  <c r="C73" i="2"/>
  <c r="C76" i="2"/>
  <c r="C41" i="2"/>
  <c r="C25" i="2"/>
  <c r="C97" i="2"/>
  <c r="C65" i="2"/>
  <c r="C118" i="2"/>
  <c r="C81" i="2"/>
  <c r="C57" i="2"/>
  <c r="C17" i="2"/>
  <c r="D102" i="2"/>
  <c r="E70" i="2"/>
  <c r="C33" i="2"/>
  <c r="C84" i="2"/>
  <c r="D60" i="2"/>
  <c r="E36" i="2"/>
  <c r="C44" i="2"/>
  <c r="C28" i="2"/>
  <c r="D13" i="2"/>
  <c r="E68" i="2"/>
  <c r="C36" i="2"/>
  <c r="D92" i="2"/>
  <c r="E20" i="2"/>
  <c r="N20" i="2" s="1"/>
  <c r="C4" i="2"/>
  <c r="E100" i="2"/>
  <c r="C68" i="2"/>
  <c r="C7" i="2"/>
  <c r="C90" i="2"/>
  <c r="D76" i="2"/>
  <c r="E108" i="2"/>
  <c r="E23" i="2"/>
  <c r="C86" i="2"/>
  <c r="C70" i="2"/>
  <c r="E62" i="2"/>
  <c r="S62" i="2" s="1"/>
  <c r="E38" i="2"/>
  <c r="C102" i="2"/>
  <c r="E86" i="2"/>
  <c r="E14" i="2"/>
  <c r="R14" i="2" s="1"/>
  <c r="C52" i="2"/>
  <c r="C38" i="2"/>
  <c r="C12" i="2"/>
  <c r="D84" i="2"/>
  <c r="D52" i="2"/>
  <c r="D28" i="2"/>
  <c r="D4" i="2"/>
  <c r="D30" i="2"/>
  <c r="D108" i="2"/>
  <c r="E78" i="2"/>
  <c r="E54" i="2"/>
  <c r="C54" i="2"/>
  <c r="D86" i="2"/>
  <c r="C78" i="2"/>
  <c r="C22" i="2"/>
  <c r="E116" i="2"/>
  <c r="C96" i="2"/>
  <c r="D63" i="2"/>
  <c r="D39" i="2"/>
  <c r="D23" i="2"/>
  <c r="C80" i="2"/>
  <c r="C56" i="2"/>
  <c r="D118" i="2"/>
  <c r="D37" i="2"/>
  <c r="C16" i="2"/>
  <c r="C104" i="2"/>
  <c r="D15" i="2"/>
  <c r="C72" i="2"/>
  <c r="C48" i="2"/>
  <c r="C24" i="2"/>
  <c r="C32" i="2"/>
  <c r="C89" i="2"/>
  <c r="C64" i="2"/>
  <c r="C88" i="2"/>
  <c r="C40" i="2"/>
  <c r="C8" i="2"/>
  <c r="E101" i="2"/>
  <c r="E47" i="2"/>
  <c r="E77" i="2"/>
  <c r="E61" i="2"/>
  <c r="E21" i="2"/>
  <c r="E5" i="2"/>
  <c r="E136" i="2"/>
  <c r="D61" i="2"/>
  <c r="C101" i="2"/>
  <c r="C93" i="2"/>
  <c r="C85" i="2"/>
  <c r="C77" i="2"/>
  <c r="C69" i="2"/>
  <c r="C53" i="2"/>
  <c r="C45" i="2"/>
  <c r="C37" i="2"/>
  <c r="C29" i="2"/>
  <c r="C21" i="2"/>
  <c r="C13" i="2"/>
  <c r="C5" i="2"/>
  <c r="D103" i="2"/>
  <c r="D91" i="2"/>
  <c r="D45" i="2"/>
  <c r="E91" i="2"/>
  <c r="Q91" i="2" s="1"/>
  <c r="E122" i="2"/>
  <c r="C117" i="2"/>
  <c r="D77" i="2"/>
  <c r="C115" i="2"/>
  <c r="D87" i="2"/>
  <c r="D75" i="2"/>
  <c r="D59" i="2"/>
  <c r="D29" i="2"/>
  <c r="E119" i="2"/>
  <c r="E71" i="2"/>
  <c r="E45" i="2"/>
  <c r="E29" i="2"/>
  <c r="E121" i="2"/>
  <c r="C109" i="2"/>
  <c r="C99" i="2"/>
  <c r="C83" i="2"/>
  <c r="C75" i="2"/>
  <c r="C67" i="2"/>
  <c r="C51" i="2"/>
  <c r="D69" i="2"/>
  <c r="E87" i="2"/>
  <c r="E15" i="2"/>
  <c r="E120" i="2"/>
  <c r="D53" i="2"/>
  <c r="D85" i="2"/>
  <c r="C107" i="2"/>
  <c r="D117" i="2"/>
  <c r="D99" i="2"/>
  <c r="E85" i="2"/>
  <c r="E39" i="2"/>
  <c r="E13" i="2"/>
  <c r="C103" i="2"/>
  <c r="C95" i="2"/>
  <c r="C87" i="2"/>
  <c r="C79" i="2"/>
  <c r="C71" i="2"/>
  <c r="C63" i="2"/>
  <c r="C55" i="2"/>
  <c r="C47" i="2"/>
  <c r="C31" i="2"/>
  <c r="C23" i="2"/>
  <c r="D93" i="2"/>
  <c r="E138" i="2"/>
  <c r="C132" i="2"/>
  <c r="E132" i="2"/>
  <c r="C124" i="2"/>
  <c r="C113" i="2"/>
  <c r="C112" i="2"/>
  <c r="E111" i="2"/>
  <c r="E95" i="2"/>
  <c r="E131" i="2"/>
  <c r="D138" i="2"/>
  <c r="C123" i="2"/>
  <c r="E130" i="2"/>
  <c r="D134" i="2"/>
  <c r="C140" i="2"/>
  <c r="D111" i="2"/>
  <c r="D110" i="2"/>
  <c r="D7" i="2"/>
  <c r="E110" i="2"/>
  <c r="E31" i="2"/>
  <c r="C119" i="2"/>
  <c r="D109" i="2"/>
  <c r="D6" i="2"/>
  <c r="E55" i="2"/>
  <c r="E128" i="2"/>
  <c r="D130" i="2"/>
  <c r="E79" i="2"/>
  <c r="E140" i="2"/>
  <c r="E124" i="2"/>
  <c r="D126" i="2"/>
  <c r="E139" i="2"/>
  <c r="E123" i="2"/>
  <c r="D122" i="2"/>
  <c r="D98" i="2"/>
  <c r="D66" i="2"/>
  <c r="D34" i="2"/>
  <c r="E135" i="2"/>
  <c r="E127" i="2"/>
  <c r="D141" i="2"/>
  <c r="D133" i="2"/>
  <c r="D125" i="2"/>
  <c r="C139" i="2"/>
  <c r="C131" i="2"/>
  <c r="E98" i="2"/>
  <c r="E66" i="2"/>
  <c r="E34" i="2"/>
  <c r="E134" i="2"/>
  <c r="E126" i="2"/>
  <c r="S126" i="2" s="1"/>
  <c r="C114" i="2"/>
  <c r="C106" i="2"/>
  <c r="D106" i="2"/>
  <c r="D74" i="2"/>
  <c r="D42" i="2"/>
  <c r="D10" i="2"/>
  <c r="E141" i="2"/>
  <c r="S141" i="2" s="1"/>
  <c r="E133" i="2"/>
  <c r="E125" i="2"/>
  <c r="O125" i="2" s="1"/>
  <c r="C137" i="2"/>
  <c r="C129" i="2"/>
  <c r="C121" i="2"/>
  <c r="E106" i="2"/>
  <c r="E74" i="2"/>
  <c r="E42" i="2"/>
  <c r="E10" i="2"/>
  <c r="C136" i="2"/>
  <c r="C128" i="2"/>
  <c r="C120" i="2"/>
  <c r="D114" i="2"/>
  <c r="D82" i="2"/>
  <c r="D50" i="2"/>
  <c r="D18" i="2"/>
  <c r="D137" i="2"/>
  <c r="D129" i="2"/>
  <c r="C135" i="2"/>
  <c r="C127" i="2"/>
  <c r="E113" i="2"/>
  <c r="E105" i="2"/>
  <c r="E97" i="2"/>
  <c r="E89" i="2"/>
  <c r="E81" i="2"/>
  <c r="E73" i="2"/>
  <c r="E65" i="2"/>
  <c r="E57" i="2"/>
  <c r="E49" i="2"/>
  <c r="E41" i="2"/>
  <c r="E33" i="2"/>
  <c r="E25" i="2"/>
  <c r="E17" i="2"/>
  <c r="E9" i="2"/>
  <c r="E112" i="2"/>
  <c r="E104" i="2"/>
  <c r="E96" i="2"/>
  <c r="E88" i="2"/>
  <c r="E80" i="2"/>
  <c r="E72" i="2"/>
  <c r="E64" i="2"/>
  <c r="E56" i="2"/>
  <c r="E48" i="2"/>
  <c r="E40" i="2"/>
  <c r="E32" i="2"/>
  <c r="E24" i="2"/>
  <c r="E16" i="2"/>
  <c r="E8" i="2"/>
  <c r="D105" i="2"/>
  <c r="C2" i="2"/>
  <c r="D2" i="2"/>
  <c r="E2" i="2"/>
  <c r="N60" i="2" l="1"/>
  <c r="N144" i="2"/>
  <c r="S133" i="2"/>
  <c r="O143" i="2"/>
  <c r="R27" i="2"/>
  <c r="Q147" i="2"/>
  <c r="S111" i="2"/>
  <c r="O145" i="2"/>
  <c r="Q138" i="2"/>
  <c r="S66" i="2"/>
  <c r="R105" i="2"/>
  <c r="S10" i="2"/>
  <c r="S42" i="2"/>
  <c r="Q100" i="2"/>
  <c r="Q142" i="2"/>
  <c r="Q110" i="2"/>
  <c r="Q61" i="2"/>
  <c r="R134" i="2"/>
  <c r="S74" i="2"/>
  <c r="R147" i="2"/>
  <c r="S105" i="2"/>
  <c r="R130" i="2"/>
  <c r="R15" i="2"/>
  <c r="R34" i="2"/>
  <c r="R98" i="2"/>
  <c r="S61" i="2"/>
  <c r="O27" i="2"/>
  <c r="R91" i="2"/>
  <c r="R62" i="2"/>
  <c r="R111" i="2"/>
  <c r="R122" i="2"/>
  <c r="R126" i="2"/>
  <c r="Q15" i="2"/>
  <c r="S39" i="2"/>
  <c r="Q60" i="2"/>
  <c r="Q146" i="2"/>
  <c r="S91" i="2"/>
  <c r="P121" i="2"/>
  <c r="S121" i="2"/>
  <c r="R121" i="2"/>
  <c r="Q121" i="2"/>
  <c r="S52" i="2"/>
  <c r="R52" i="2"/>
  <c r="Q52" i="2"/>
  <c r="S118" i="2"/>
  <c r="R118" i="2"/>
  <c r="Q118" i="2"/>
  <c r="S35" i="2"/>
  <c r="R35" i="2"/>
  <c r="Q35" i="2"/>
  <c r="S122" i="2"/>
  <c r="Q127" i="2"/>
  <c r="S127" i="2"/>
  <c r="R127" i="2"/>
  <c r="R129" i="2"/>
  <c r="Q129" i="2"/>
  <c r="S129" i="2"/>
  <c r="S131" i="2"/>
  <c r="R131" i="2"/>
  <c r="Q131" i="2"/>
  <c r="S71" i="2"/>
  <c r="R71" i="2"/>
  <c r="Q71" i="2"/>
  <c r="S115" i="2"/>
  <c r="R115" i="2"/>
  <c r="Q115" i="2"/>
  <c r="Q77" i="2"/>
  <c r="S77" i="2"/>
  <c r="R77" i="2"/>
  <c r="S89" i="2"/>
  <c r="R89" i="2"/>
  <c r="Q89" i="2"/>
  <c r="R65" i="2"/>
  <c r="Q65" i="2"/>
  <c r="S65" i="2"/>
  <c r="Q144" i="2"/>
  <c r="Q134" i="2"/>
  <c r="S15" i="2"/>
  <c r="R110" i="2"/>
  <c r="S138" i="2"/>
  <c r="Q62" i="2"/>
  <c r="Q63" i="2"/>
  <c r="S63" i="2"/>
  <c r="R63" i="2"/>
  <c r="S137" i="2"/>
  <c r="R137" i="2"/>
  <c r="Q137" i="2"/>
  <c r="Q143" i="2"/>
  <c r="S2" i="2"/>
  <c r="R2" i="2"/>
  <c r="Q2" i="2"/>
  <c r="S87" i="2"/>
  <c r="R87" i="2"/>
  <c r="Q87" i="2"/>
  <c r="S67" i="2"/>
  <c r="R67" i="2"/>
  <c r="Q67" i="2"/>
  <c r="S117" i="2"/>
  <c r="R117" i="2"/>
  <c r="Q117" i="2"/>
  <c r="Q93" i="2"/>
  <c r="S93" i="2"/>
  <c r="R93" i="2"/>
  <c r="S24" i="2"/>
  <c r="R24" i="2"/>
  <c r="Q24" i="2"/>
  <c r="Q78" i="2"/>
  <c r="S78" i="2"/>
  <c r="R78" i="2"/>
  <c r="S102" i="2"/>
  <c r="R102" i="2"/>
  <c r="Q102" i="2"/>
  <c r="S25" i="2"/>
  <c r="R25" i="2"/>
  <c r="Q25" i="2"/>
  <c r="S26" i="2"/>
  <c r="R26" i="2"/>
  <c r="Q26" i="2"/>
  <c r="S43" i="2"/>
  <c r="R43" i="2"/>
  <c r="Q43" i="2"/>
  <c r="R100" i="2"/>
  <c r="S125" i="2"/>
  <c r="S143" i="2"/>
  <c r="R142" i="2"/>
  <c r="Q111" i="2"/>
  <c r="R144" i="2"/>
  <c r="S75" i="2"/>
  <c r="R75" i="2"/>
  <c r="Q75" i="2"/>
  <c r="S101" i="2"/>
  <c r="R101" i="2"/>
  <c r="Q101" i="2"/>
  <c r="R48" i="2"/>
  <c r="Q48" i="2"/>
  <c r="S48" i="2"/>
  <c r="S41" i="2"/>
  <c r="R41" i="2"/>
  <c r="Q41" i="2"/>
  <c r="R50" i="2"/>
  <c r="Q50" i="2"/>
  <c r="S50" i="2"/>
  <c r="S19" i="2"/>
  <c r="R19" i="2"/>
  <c r="Q19" i="2"/>
  <c r="R133" i="2"/>
  <c r="R60" i="2"/>
  <c r="Q27" i="2"/>
  <c r="R66" i="2"/>
  <c r="S20" i="2"/>
  <c r="S123" i="2"/>
  <c r="R123" i="2"/>
  <c r="Q123" i="2"/>
  <c r="S22" i="2"/>
  <c r="R22" i="2"/>
  <c r="Q22" i="2"/>
  <c r="S72" i="2"/>
  <c r="R72" i="2"/>
  <c r="Q72" i="2"/>
  <c r="S28" i="2"/>
  <c r="R28" i="2"/>
  <c r="Q28" i="2"/>
  <c r="Q34" i="2"/>
  <c r="R10" i="2"/>
  <c r="Q105" i="2"/>
  <c r="Q126" i="2"/>
  <c r="R32" i="2"/>
  <c r="Q32" i="2"/>
  <c r="S32" i="2"/>
  <c r="Q95" i="2"/>
  <c r="S95" i="2"/>
  <c r="R95" i="2"/>
  <c r="S83" i="2"/>
  <c r="R83" i="2"/>
  <c r="Q83" i="2"/>
  <c r="S54" i="2"/>
  <c r="R54" i="2"/>
  <c r="Q54" i="2"/>
  <c r="S76" i="2"/>
  <c r="R76" i="2"/>
  <c r="Q76" i="2"/>
  <c r="R113" i="2"/>
  <c r="Q113" i="2"/>
  <c r="S113" i="2"/>
  <c r="S99" i="2"/>
  <c r="R99" i="2"/>
  <c r="Q99" i="2"/>
  <c r="S70" i="2"/>
  <c r="R70" i="2"/>
  <c r="Q70" i="2"/>
  <c r="P44" i="2"/>
  <c r="S44" i="2"/>
  <c r="R44" i="2"/>
  <c r="Q44" i="2"/>
  <c r="S73" i="2"/>
  <c r="R73" i="2"/>
  <c r="Q73" i="2"/>
  <c r="Q66" i="2"/>
  <c r="R42" i="2"/>
  <c r="S144" i="2"/>
  <c r="S100" i="2"/>
  <c r="Q14" i="2"/>
  <c r="S51" i="2"/>
  <c r="R51" i="2"/>
  <c r="Q51" i="2"/>
  <c r="Q46" i="2"/>
  <c r="S46" i="2"/>
  <c r="R46" i="2"/>
  <c r="O133" i="2"/>
  <c r="R112" i="2"/>
  <c r="Q112" i="2"/>
  <c r="S112" i="2"/>
  <c r="S119" i="2"/>
  <c r="R119" i="2"/>
  <c r="Q119" i="2"/>
  <c r="S124" i="2"/>
  <c r="R124" i="2"/>
  <c r="Q124" i="2"/>
  <c r="Q109" i="2"/>
  <c r="S109" i="2"/>
  <c r="R109" i="2"/>
  <c r="S104" i="2"/>
  <c r="R104" i="2"/>
  <c r="Q104" i="2"/>
  <c r="S86" i="2"/>
  <c r="R86" i="2"/>
  <c r="Q86" i="2"/>
  <c r="S59" i="2"/>
  <c r="R59" i="2"/>
  <c r="Q59" i="2"/>
  <c r="Q98" i="2"/>
  <c r="R74" i="2"/>
  <c r="R61" i="2"/>
  <c r="S34" i="2"/>
  <c r="R146" i="2"/>
  <c r="S139" i="2"/>
  <c r="R139" i="2"/>
  <c r="Q139" i="2"/>
  <c r="S58" i="2"/>
  <c r="R58" i="2"/>
  <c r="Q58" i="2"/>
  <c r="O141" i="2"/>
  <c r="S103" i="2"/>
  <c r="R103" i="2"/>
  <c r="Q103" i="2"/>
  <c r="R16" i="2"/>
  <c r="Q16" i="2"/>
  <c r="S16" i="2"/>
  <c r="R49" i="2"/>
  <c r="Q49" i="2"/>
  <c r="S49" i="2"/>
  <c r="O147" i="2"/>
  <c r="Q130" i="2"/>
  <c r="R138" i="2"/>
  <c r="R125" i="2"/>
  <c r="S60" i="2"/>
  <c r="S134" i="2"/>
  <c r="S36" i="2"/>
  <c r="R36" i="2"/>
  <c r="Q36" i="2"/>
  <c r="S5" i="2"/>
  <c r="R5" i="2"/>
  <c r="Q5" i="2"/>
  <c r="S84" i="2"/>
  <c r="R84" i="2"/>
  <c r="Q84" i="2"/>
  <c r="R82" i="2"/>
  <c r="Q82" i="2"/>
  <c r="S82" i="2"/>
  <c r="S92" i="2"/>
  <c r="R92" i="2"/>
  <c r="Q92" i="2"/>
  <c r="Q39" i="2"/>
  <c r="R141" i="2"/>
  <c r="S98" i="2"/>
  <c r="Q125" i="2"/>
  <c r="S147" i="2"/>
  <c r="R64" i="2"/>
  <c r="Q64" i="2"/>
  <c r="S64" i="2"/>
  <c r="S132" i="2"/>
  <c r="R132" i="2"/>
  <c r="Q132" i="2"/>
  <c r="R128" i="2"/>
  <c r="Q128" i="2"/>
  <c r="S128" i="2"/>
  <c r="S106" i="2"/>
  <c r="R106" i="2"/>
  <c r="Q106" i="2"/>
  <c r="Q13" i="2"/>
  <c r="S13" i="2"/>
  <c r="R13" i="2"/>
  <c r="R33" i="2"/>
  <c r="Q33" i="2"/>
  <c r="S33" i="2"/>
  <c r="S9" i="2"/>
  <c r="R9" i="2"/>
  <c r="Q9" i="2"/>
  <c r="S14" i="2"/>
  <c r="Q10" i="2"/>
  <c r="S130" i="2"/>
  <c r="Q79" i="2"/>
  <c r="S79" i="2"/>
  <c r="R79" i="2"/>
  <c r="S56" i="2"/>
  <c r="R56" i="2"/>
  <c r="Q56" i="2"/>
  <c r="S90" i="2"/>
  <c r="R90" i="2"/>
  <c r="Q90" i="2"/>
  <c r="R39" i="2"/>
  <c r="Q42" i="2"/>
  <c r="S146" i="2"/>
  <c r="R96" i="2"/>
  <c r="Q96" i="2"/>
  <c r="S96" i="2"/>
  <c r="S120" i="2"/>
  <c r="R120" i="2"/>
  <c r="Q120" i="2"/>
  <c r="S23" i="2"/>
  <c r="R23" i="2"/>
  <c r="Q23" i="2"/>
  <c r="Q29" i="2"/>
  <c r="S29" i="2"/>
  <c r="R29" i="2"/>
  <c r="R80" i="2"/>
  <c r="Q80" i="2"/>
  <c r="S80" i="2"/>
  <c r="S7" i="2"/>
  <c r="R7" i="2"/>
  <c r="Q7" i="2"/>
  <c r="S108" i="2"/>
  <c r="R108" i="2"/>
  <c r="Q108" i="2"/>
  <c r="Q94" i="2"/>
  <c r="S94" i="2"/>
  <c r="R94" i="2"/>
  <c r="Q20" i="2"/>
  <c r="S110" i="2"/>
  <c r="Q74" i="2"/>
  <c r="S135" i="2"/>
  <c r="R135" i="2"/>
  <c r="Q135" i="2"/>
  <c r="Q31" i="2"/>
  <c r="S31" i="2"/>
  <c r="R31" i="2"/>
  <c r="R17" i="2"/>
  <c r="Q17" i="2"/>
  <c r="S17" i="2"/>
  <c r="Q30" i="2"/>
  <c r="S30" i="2"/>
  <c r="R30" i="2"/>
  <c r="S3" i="2"/>
  <c r="R3" i="2"/>
  <c r="Q3" i="2"/>
  <c r="Q122" i="2"/>
  <c r="S27" i="2"/>
  <c r="S69" i="2"/>
  <c r="R69" i="2"/>
  <c r="Q69" i="2"/>
  <c r="R97" i="2"/>
  <c r="Q97" i="2"/>
  <c r="S97" i="2"/>
  <c r="R20" i="2"/>
  <c r="S136" i="2"/>
  <c r="R136" i="2"/>
  <c r="Q136" i="2"/>
  <c r="S140" i="2"/>
  <c r="R140" i="2"/>
  <c r="Q140" i="2"/>
  <c r="Q47" i="2"/>
  <c r="S47" i="2"/>
  <c r="R47" i="2"/>
  <c r="Q45" i="2"/>
  <c r="S45" i="2"/>
  <c r="R45" i="2"/>
  <c r="S40" i="2"/>
  <c r="R40" i="2"/>
  <c r="Q40" i="2"/>
  <c r="P12" i="2"/>
  <c r="S12" i="2"/>
  <c r="R12" i="2"/>
  <c r="Q12" i="2"/>
  <c r="S57" i="2"/>
  <c r="R57" i="2"/>
  <c r="Q57" i="2"/>
  <c r="S116" i="2"/>
  <c r="R116" i="2"/>
  <c r="Q116" i="2"/>
  <c r="S6" i="2"/>
  <c r="R6" i="2"/>
  <c r="Q6" i="2"/>
  <c r="R145" i="2"/>
  <c r="Q145" i="2"/>
  <c r="S145" i="2"/>
  <c r="Q133" i="2"/>
  <c r="R143" i="2"/>
  <c r="Q141" i="2"/>
  <c r="S85" i="2"/>
  <c r="R85" i="2"/>
  <c r="Q85" i="2"/>
  <c r="R114" i="2"/>
  <c r="Q114" i="2"/>
  <c r="S114" i="2"/>
  <c r="P107" i="2"/>
  <c r="S107" i="2"/>
  <c r="R107" i="2"/>
  <c r="Q107" i="2"/>
  <c r="S21" i="2"/>
  <c r="R21" i="2"/>
  <c r="Q21" i="2"/>
  <c r="S37" i="2"/>
  <c r="R37" i="2"/>
  <c r="Q37" i="2"/>
  <c r="S8" i="2"/>
  <c r="R8" i="2"/>
  <c r="Q8" i="2"/>
  <c r="S68" i="2"/>
  <c r="R68" i="2"/>
  <c r="Q68" i="2"/>
  <c r="S55" i="2"/>
  <c r="R55" i="2"/>
  <c r="Q55" i="2"/>
  <c r="S53" i="2"/>
  <c r="R53" i="2"/>
  <c r="Q53" i="2"/>
  <c r="S88" i="2"/>
  <c r="R88" i="2"/>
  <c r="Q88" i="2"/>
  <c r="S38" i="2"/>
  <c r="R38" i="2"/>
  <c r="Q38" i="2"/>
  <c r="S4" i="2"/>
  <c r="R4" i="2"/>
  <c r="Q4" i="2"/>
  <c r="R81" i="2"/>
  <c r="Q81" i="2"/>
  <c r="S81" i="2"/>
  <c r="R18" i="2"/>
  <c r="Q18" i="2"/>
  <c r="S18" i="2"/>
  <c r="S11" i="2"/>
  <c r="R11" i="2"/>
  <c r="Q11" i="2"/>
  <c r="N145" i="2"/>
  <c r="O43" i="2"/>
  <c r="P134" i="2"/>
  <c r="N11" i="2"/>
  <c r="N59" i="2"/>
  <c r="P66" i="2"/>
  <c r="P142" i="2"/>
  <c r="P130" i="2"/>
  <c r="P4" i="2"/>
  <c r="P129" i="2"/>
  <c r="P110" i="2"/>
  <c r="P71" i="2"/>
  <c r="P14" i="2"/>
  <c r="P10" i="2"/>
  <c r="P126" i="2"/>
  <c r="N26" i="2"/>
  <c r="P98" i="2"/>
  <c r="P15" i="2"/>
  <c r="P53" i="2"/>
  <c r="P147" i="2"/>
  <c r="P115" i="2"/>
  <c r="P61" i="2"/>
  <c r="N17" i="2"/>
  <c r="P27" i="2"/>
  <c r="N27" i="2"/>
  <c r="P135" i="2"/>
  <c r="P128" i="2"/>
  <c r="P139" i="2"/>
  <c r="P138" i="2"/>
  <c r="P79" i="2"/>
  <c r="P51" i="2"/>
  <c r="P22" i="2"/>
  <c r="O3" i="2"/>
  <c r="O144" i="2"/>
  <c r="P60" i="2"/>
  <c r="P144" i="2"/>
  <c r="N25" i="2"/>
  <c r="P111" i="2"/>
  <c r="P23" i="2"/>
  <c r="P95" i="2"/>
  <c r="P75" i="2"/>
  <c r="P122" i="2"/>
  <c r="P29" i="2"/>
  <c r="P48" i="2"/>
  <c r="P80" i="2"/>
  <c r="P7" i="2"/>
  <c r="P41" i="2"/>
  <c r="P108" i="2"/>
  <c r="P50" i="2"/>
  <c r="P94" i="2"/>
  <c r="P46" i="2"/>
  <c r="P19" i="2"/>
  <c r="P42" i="2"/>
  <c r="P140" i="2"/>
  <c r="P31" i="2"/>
  <c r="P103" i="2"/>
  <c r="P83" i="2"/>
  <c r="P91" i="2"/>
  <c r="P37" i="2"/>
  <c r="P62" i="2"/>
  <c r="P68" i="2"/>
  <c r="P28" i="2"/>
  <c r="P146" i="2"/>
  <c r="P105" i="2"/>
  <c r="P74" i="2"/>
  <c r="P34" i="2"/>
  <c r="P113" i="2"/>
  <c r="P47" i="2"/>
  <c r="P99" i="2"/>
  <c r="P40" i="2"/>
  <c r="P39" i="2"/>
  <c r="P70" i="2"/>
  <c r="P100" i="2"/>
  <c r="P57" i="2"/>
  <c r="P73" i="2"/>
  <c r="P116" i="2"/>
  <c r="P101" i="2"/>
  <c r="O35" i="2"/>
  <c r="P35" i="2"/>
  <c r="P112" i="2"/>
  <c r="P8" i="2"/>
  <c r="P72" i="2"/>
  <c r="P54" i="2"/>
  <c r="P17" i="2"/>
  <c r="P76" i="2"/>
  <c r="N147" i="2"/>
  <c r="P2" i="2"/>
  <c r="P119" i="2"/>
  <c r="P124" i="2"/>
  <c r="P55" i="2"/>
  <c r="P109" i="2"/>
  <c r="P88" i="2"/>
  <c r="P104" i="2"/>
  <c r="P38" i="2"/>
  <c r="P86" i="2"/>
  <c r="P81" i="2"/>
  <c r="P18" i="2"/>
  <c r="O146" i="2"/>
  <c r="N143" i="2"/>
  <c r="N146" i="2"/>
  <c r="O19" i="2"/>
  <c r="N43" i="2"/>
  <c r="P43" i="2"/>
  <c r="P125" i="2"/>
  <c r="P123" i="2"/>
  <c r="P63" i="2"/>
  <c r="P69" i="2"/>
  <c r="P64" i="2"/>
  <c r="P16" i="2"/>
  <c r="P96" i="2"/>
  <c r="P52" i="2"/>
  <c r="P118" i="2"/>
  <c r="P49" i="2"/>
  <c r="P92" i="2"/>
  <c r="P143" i="2"/>
  <c r="P20" i="2"/>
  <c r="P133" i="2"/>
  <c r="P45" i="2"/>
  <c r="N19" i="2"/>
  <c r="P127" i="2"/>
  <c r="P120" i="2"/>
  <c r="P131" i="2"/>
  <c r="P132" i="2"/>
  <c r="P5" i="2"/>
  <c r="P77" i="2"/>
  <c r="O61" i="2"/>
  <c r="P89" i="2"/>
  <c r="P84" i="2"/>
  <c r="P65" i="2"/>
  <c r="P82" i="2"/>
  <c r="N46" i="2"/>
  <c r="P141" i="2"/>
  <c r="P106" i="2"/>
  <c r="P13" i="2"/>
  <c r="P85" i="2"/>
  <c r="P32" i="2"/>
  <c r="P36" i="2"/>
  <c r="P33" i="2"/>
  <c r="P97" i="2"/>
  <c r="P9" i="2"/>
  <c r="N58" i="2"/>
  <c r="P58" i="2"/>
  <c r="P30" i="2"/>
  <c r="P3" i="2"/>
  <c r="P59" i="2"/>
  <c r="P137" i="2"/>
  <c r="P136" i="2"/>
  <c r="P114" i="2"/>
  <c r="P87" i="2"/>
  <c r="P67" i="2"/>
  <c r="P117" i="2"/>
  <c r="P21" i="2"/>
  <c r="P93" i="2"/>
  <c r="P24" i="2"/>
  <c r="P56" i="2"/>
  <c r="P78" i="2"/>
  <c r="P102" i="2"/>
  <c r="P90" i="2"/>
  <c r="P25" i="2"/>
  <c r="P26" i="2"/>
  <c r="P6" i="2"/>
  <c r="P11" i="2"/>
  <c r="P145" i="2"/>
  <c r="O11" i="2"/>
  <c r="N9" i="2"/>
  <c r="N35" i="2"/>
  <c r="O46" i="2"/>
  <c r="N94" i="2"/>
  <c r="N14" i="2"/>
  <c r="O42" i="2"/>
  <c r="N6" i="2"/>
  <c r="O92" i="2"/>
  <c r="N50" i="2"/>
  <c r="N92" i="2"/>
  <c r="O121" i="2"/>
  <c r="O98" i="2"/>
  <c r="N30" i="2"/>
  <c r="N142" i="2"/>
  <c r="N33" i="2"/>
  <c r="N97" i="2"/>
  <c r="O10" i="2"/>
  <c r="O126" i="2"/>
  <c r="O94" i="2"/>
  <c r="N100" i="2"/>
  <c r="O130" i="2"/>
  <c r="O131" i="2"/>
  <c r="O128" i="2"/>
  <c r="O142" i="2"/>
  <c r="O123" i="2"/>
  <c r="O110" i="2"/>
  <c r="O138" i="2"/>
  <c r="N76" i="2"/>
  <c r="O39" i="2"/>
  <c r="O63" i="2"/>
  <c r="O136" i="2"/>
  <c r="O5" i="2"/>
  <c r="N116" i="2"/>
  <c r="O100" i="2"/>
  <c r="O137" i="2"/>
  <c r="N18" i="2"/>
  <c r="O134" i="2"/>
  <c r="O120" i="2"/>
  <c r="O105" i="2"/>
  <c r="O78" i="2"/>
  <c r="O90" i="2"/>
  <c r="N113" i="2"/>
  <c r="O74" i="2"/>
  <c r="N34" i="2"/>
  <c r="O111" i="2"/>
  <c r="O23" i="2"/>
  <c r="O95" i="2"/>
  <c r="O75" i="2"/>
  <c r="O122" i="2"/>
  <c r="O29" i="2"/>
  <c r="O80" i="2"/>
  <c r="O7" i="2"/>
  <c r="O41" i="2"/>
  <c r="O108" i="2"/>
  <c r="N73" i="2"/>
  <c r="O15" i="2"/>
  <c r="N81" i="2"/>
  <c r="O87" i="2"/>
  <c r="O117" i="2"/>
  <c r="O21" i="2"/>
  <c r="O66" i="2"/>
  <c r="O140" i="2"/>
  <c r="O31" i="2"/>
  <c r="O103" i="2"/>
  <c r="O91" i="2"/>
  <c r="O37" i="2"/>
  <c r="O54" i="2"/>
  <c r="N62" i="2"/>
  <c r="O28" i="2"/>
  <c r="O76" i="2"/>
  <c r="O112" i="2"/>
  <c r="N83" i="2"/>
  <c r="O83" i="2"/>
  <c r="O8" i="2"/>
  <c r="O72" i="2"/>
  <c r="N68" i="2"/>
  <c r="O68" i="2"/>
  <c r="O17" i="2"/>
  <c r="O34" i="2"/>
  <c r="N101" i="2"/>
  <c r="O101" i="2"/>
  <c r="O113" i="2"/>
  <c r="N47" i="2"/>
  <c r="O47" i="2"/>
  <c r="O99" i="2"/>
  <c r="O45" i="2"/>
  <c r="O40" i="2"/>
  <c r="N12" i="2"/>
  <c r="O12" i="2"/>
  <c r="N70" i="2"/>
  <c r="O70" i="2"/>
  <c r="N44" i="2"/>
  <c r="O44" i="2"/>
  <c r="O57" i="2"/>
  <c r="O73" i="2"/>
  <c r="O116" i="2"/>
  <c r="O2" i="2"/>
  <c r="O127" i="2"/>
  <c r="O129" i="2"/>
  <c r="O119" i="2"/>
  <c r="O124" i="2"/>
  <c r="O55" i="2"/>
  <c r="O109" i="2"/>
  <c r="O53" i="2"/>
  <c r="O88" i="2"/>
  <c r="O104" i="2"/>
  <c r="O38" i="2"/>
  <c r="O86" i="2"/>
  <c r="O4" i="2"/>
  <c r="O81" i="2"/>
  <c r="O18" i="2"/>
  <c r="O135" i="2"/>
  <c r="O106" i="2"/>
  <c r="O139" i="2"/>
  <c r="O69" i="2"/>
  <c r="O64" i="2"/>
  <c r="O16" i="2"/>
  <c r="O96" i="2"/>
  <c r="N108" i="2"/>
  <c r="O52" i="2"/>
  <c r="O118" i="2"/>
  <c r="O49" i="2"/>
  <c r="O30" i="2"/>
  <c r="O14" i="2"/>
  <c r="O50" i="2"/>
  <c r="O114" i="2"/>
  <c r="O132" i="2"/>
  <c r="O71" i="2"/>
  <c r="N115" i="2"/>
  <c r="O115" i="2"/>
  <c r="O77" i="2"/>
  <c r="O89" i="2"/>
  <c r="O84" i="2"/>
  <c r="O65" i="2"/>
  <c r="O82" i="2"/>
  <c r="O62" i="2"/>
  <c r="O48" i="2"/>
  <c r="O79" i="2"/>
  <c r="N51" i="2"/>
  <c r="O51" i="2"/>
  <c r="O13" i="2"/>
  <c r="O85" i="2"/>
  <c r="O32" i="2"/>
  <c r="N22" i="2"/>
  <c r="O22" i="2"/>
  <c r="O36" i="2"/>
  <c r="O33" i="2"/>
  <c r="O97" i="2"/>
  <c r="O9" i="2"/>
  <c r="O58" i="2"/>
  <c r="O20" i="2"/>
  <c r="O6" i="2"/>
  <c r="N107" i="2"/>
  <c r="O107" i="2"/>
  <c r="N67" i="2"/>
  <c r="O67" i="2"/>
  <c r="O93" i="2"/>
  <c r="O24" i="2"/>
  <c r="O56" i="2"/>
  <c r="N102" i="2"/>
  <c r="O102" i="2"/>
  <c r="O25" i="2"/>
  <c r="O26" i="2"/>
  <c r="O60" i="2"/>
  <c r="O59" i="2"/>
  <c r="N66" i="2"/>
  <c r="N98" i="2"/>
  <c r="N15" i="2"/>
  <c r="N49" i="2"/>
  <c r="N65" i="2"/>
  <c r="N104" i="2"/>
  <c r="N135" i="2"/>
  <c r="N82" i="2"/>
  <c r="N103" i="2"/>
  <c r="N4" i="2"/>
  <c r="N111" i="2"/>
  <c r="N90" i="2"/>
  <c r="N41" i="2"/>
  <c r="N28" i="2"/>
  <c r="N57" i="2"/>
  <c r="N36" i="2"/>
  <c r="N88" i="2"/>
  <c r="N48" i="2"/>
  <c r="N121" i="2"/>
  <c r="N84" i="2"/>
  <c r="N31" i="2"/>
  <c r="N72" i="2"/>
  <c r="N78" i="2"/>
  <c r="N38" i="2"/>
  <c r="N132" i="2"/>
  <c r="N91" i="2"/>
  <c r="N118" i="2"/>
  <c r="N112" i="2"/>
  <c r="N7" i="2"/>
  <c r="N124" i="2"/>
  <c r="N54" i="2"/>
  <c r="N86" i="2"/>
  <c r="N23" i="2"/>
  <c r="N74" i="2"/>
  <c r="N122" i="2"/>
  <c r="N119" i="2"/>
  <c r="N63" i="2"/>
  <c r="N13" i="2"/>
  <c r="N5" i="2"/>
  <c r="N52" i="2"/>
  <c r="N89" i="2"/>
  <c r="N109" i="2"/>
  <c r="N71" i="2"/>
  <c r="N39" i="2"/>
  <c r="N95" i="2"/>
  <c r="N32" i="2"/>
  <c r="N96" i="2"/>
  <c r="N37" i="2"/>
  <c r="N10" i="2"/>
  <c r="N85" i="2"/>
  <c r="N87" i="2"/>
  <c r="N24" i="2"/>
  <c r="N42" i="2"/>
  <c r="N79" i="2"/>
  <c r="N53" i="2"/>
  <c r="N61" i="2"/>
  <c r="N16" i="2"/>
  <c r="N130" i="2"/>
  <c r="N99" i="2"/>
  <c r="N77" i="2"/>
  <c r="N75" i="2"/>
  <c r="N45" i="2"/>
  <c r="N80" i="2"/>
  <c r="N114" i="2"/>
  <c r="N8" i="2"/>
  <c r="N110" i="2"/>
  <c r="N139" i="2"/>
  <c r="N40" i="2"/>
  <c r="N129" i="2"/>
  <c r="N137" i="2"/>
  <c r="N120" i="2"/>
  <c r="N140" i="2"/>
  <c r="N56" i="2"/>
  <c r="N126" i="2"/>
  <c r="N123" i="2"/>
  <c r="N69" i="2"/>
  <c r="N117" i="2"/>
  <c r="N21" i="2"/>
  <c r="N93" i="2"/>
  <c r="N131" i="2"/>
  <c r="N64" i="2"/>
  <c r="N138" i="2"/>
  <c r="N55" i="2"/>
  <c r="N29" i="2"/>
  <c r="N106" i="2"/>
  <c r="N136" i="2"/>
  <c r="N128" i="2"/>
  <c r="N134" i="2"/>
  <c r="N125" i="2"/>
  <c r="N133" i="2"/>
  <c r="N105" i="2"/>
  <c r="N127" i="2"/>
  <c r="N141" i="2"/>
  <c r="N2" i="2"/>
</calcChain>
</file>

<file path=xl/sharedStrings.xml><?xml version="1.0" encoding="utf-8"?>
<sst xmlns="http://schemas.openxmlformats.org/spreadsheetml/2006/main" count="1187" uniqueCount="916">
  <si>
    <t>Column1</t>
  </si>
  <si>
    <t>Contador de horas</t>
  </si>
  <si>
    <t>Horas nocturnas</t>
  </si>
  <si>
    <t>NIF</t>
  </si>
  <si>
    <t>Género</t>
  </si>
  <si>
    <t>Código Postal</t>
  </si>
  <si>
    <t>Tipo de contrato</t>
  </si>
  <si>
    <t>1~11~19~2~3~4~5~6~7~8~9</t>
  </si>
  <si>
    <t>24 h Total</t>
  </si>
  <si>
    <t>Horas normais</t>
  </si>
  <si>
    <t>Feriados</t>
  </si>
  <si>
    <t>Tempo planeado</t>
  </si>
  <si>
    <t>Relatório de saldo</t>
  </si>
  <si>
    <t>Relatório geral</t>
  </si>
  <si>
    <t>Ocorrências</t>
  </si>
  <si>
    <t>Misto (horas+ocorrências)</t>
  </si>
  <si>
    <t>A minha empresa</t>
  </si>
  <si>
    <t>Visualizar as tarefas pendentes penduradas nos terminais após a difusão</t>
  </si>
  <si>
    <t>Saber se o ficheiro de correlação está corretamente introduzido na base de dados.</t>
  </si>
  <si>
    <t>Verificar se o recálculo após as alterações efectuadas no VisualTime está a funcionar corretamente.</t>
  </si>
  <si>
    <t>Verificar o grupo a que pertencem os empregados. Percurso curto e completo</t>
  </si>
  <si>
    <t>Categoria profissional</t>
  </si>
  <si>
    <t>Telefone</t>
  </si>
  <si>
    <t>Número de emergência</t>
  </si>
  <si>
    <t>Data de nascimento</t>
  </si>
  <si>
    <t>Nacionalidade</t>
  </si>
  <si>
    <t>Ponto de encontro</t>
  </si>
  <si>
    <t>Observações</t>
  </si>
  <si>
    <t>Custo por hora</t>
  </si>
  <si>
    <t>Regras gerais</t>
  </si>
  <si>
    <t>24 horas durante todo o ano</t>
  </si>
  <si>
    <t>Presente</t>
  </si>
  <si>
    <t>ESP</t>
  </si>
  <si>
    <t>POR</t>
  </si>
  <si>
    <t>Table</t>
  </si>
  <si>
    <t>Column</t>
  </si>
  <si>
    <t>Tag</t>
  </si>
  <si>
    <t>Relatório de ausências</t>
  </si>
  <si>
    <t>Pessoal</t>
  </si>
  <si>
    <t>Trabalho</t>
  </si>
  <si>
    <t>VisualTime</t>
  </si>
  <si>
    <t>Origen</t>
  </si>
  <si>
    <t>VT. NO JUSTIFICADO</t>
  </si>
  <si>
    <t xml:space="preserve">Horas complementarias </t>
  </si>
  <si>
    <t xml:space="preserve">Horas extraordinarias </t>
  </si>
  <si>
    <t>Vacaciones</t>
  </si>
  <si>
    <t>Permisos legales retribuidos</t>
  </si>
  <si>
    <t xml:space="preserve">Permisos legales no retribuidos </t>
  </si>
  <si>
    <t>Ausencia sin motivo justificado que genera una alerta. El objetivo es que no haya ningún tiempo justificado con este motivo. Justificación interna de VisualTime, no se debe borrar ni modificar.</t>
  </si>
  <si>
    <t>Las horas que se han planificado al empleado y éste debería realizar. Justificación interna de VisualTime, no se debe borrar ni modificar.</t>
  </si>
  <si>
    <t>Aquéllas que superan las horas ordinarias de la jornada laboral pero cuya realización ha sido pactada y acordada en un contrato a tiempo parcial. Pueden ser de 2 tipos: -Horas pactadas: Contratos a tiempo parcial con una jornada de trabajo no inferior a diez horas semanales en cómputo anual. -Horas voluntarias: Contratos a tiempo parcial de duración indefinida con una jornada de trabajo no inferior a 10 horas semanales en cómputo anual.</t>
  </si>
  <si>
    <t>Horas de trabajo que se realicen sobre la duración máxima de la jornada ordinaria de trabajo fijada, legal o convencionalmente.  Como máximo, se podrán realizar 80h de este tipo al año.</t>
  </si>
  <si>
    <t>Ausencia por vacaciones anuales retribuidas. No es sustituible por compensación económica, será el pactado en Convenio Colectivo o contrato individual. Respetando este pacto los mínimos legales de 30 días naturales por año.</t>
  </si>
  <si>
    <t>El tiempo planificado que no se ha trabajado y debe recuperarse en otro momento.</t>
  </si>
  <si>
    <t>El permiso retribuido es un tipo de ausencia durante la cual el trabajador seguirá siendo compensado económicamente. Los permisos remunerados están regulados en el artículo 37 del Estatuto de los Trabajadores y en los convenios colectivos.</t>
  </si>
  <si>
    <t xml:space="preserve">Es un permiso que se podría disfrutar por cualquier motivo, salvo que el convenio aplicable especificase otra cosa, existiendo acuerdo empresario-trabajador. En este se suspende la obligación de trabajar y de abonar el salario correspondiente al tiempo que el empleado se haya ausentado. No se encuentran regulados normativamente (salvo en algunos convenios colectivos). Las condiciones de uso y disfrute de estos permisos/licencia se regulan por acuerdos entre empresario y trabajador. </t>
  </si>
  <si>
    <t>Trabajo efectivo</t>
  </si>
  <si>
    <t>Vacaciones pendientes</t>
  </si>
  <si>
    <t>Todo el tiempo que se considera trabajo efectivo, sin contar excesos.</t>
  </si>
  <si>
    <t xml:space="preserve">Este saldo restará todas las "horas a recuperar" y sumará todas las "horas recuperadas". Si el total de este saldo es negativo, el empleado debe horas a la empresa.  Si el total de este saldo es positivo, la empresa debe horas al trabajador. </t>
  </si>
  <si>
    <t>Tiempo planificado, es el tiempo que por horarios tengo que realizar</t>
  </si>
  <si>
    <t>Este saldo muestra las vacaciones pendientes de disfrutar.   Saldo inicial de vacaciones - vacaciones disfrutadas = vacaciones pendientes</t>
  </si>
  <si>
    <t>Horas complementarias para contratos a tiempo parcial.</t>
  </si>
  <si>
    <t>Informe de saldos</t>
  </si>
  <si>
    <t>Informe de vacaciones pendientes</t>
  </si>
  <si>
    <t>Horas</t>
  </si>
  <si>
    <t>Ocurrencias</t>
  </si>
  <si>
    <t>Mixto (horas+ocurrencias)</t>
  </si>
  <si>
    <t>Horas normales</t>
  </si>
  <si>
    <t>Horas con remuneración especial</t>
  </si>
  <si>
    <t>Mi empresa</t>
  </si>
  <si>
    <t>Visualizar tareas pendientes colgadas de los terminales tras realizar broadcast</t>
  </si>
  <si>
    <t>Saber si el fichero de correlación está correctamente introducido en base de datos</t>
  </si>
  <si>
    <t>Comprobar si el recálculo tras los cambios realizados en VisualTime está funcionando correctamente</t>
  </si>
  <si>
    <t>Ver los fichajes que ha habido en una fecha en concreto (poder escoger fecha)</t>
  </si>
  <si>
    <t>Comprobar el grupo al que pertenecen los empleados. Ruta corta y completa</t>
  </si>
  <si>
    <t>Cerciorarnos de cuánto le queda al recalculo que realiza VisualTime y a cuántos empleados afecta</t>
  </si>
  <si>
    <t>Comprobar que hay alguna tarea que no ha podido ejecutarse con normalidad</t>
  </si>
  <si>
    <t>Móvil</t>
  </si>
  <si>
    <t>Población</t>
  </si>
  <si>
    <t>Provincia</t>
  </si>
  <si>
    <t>Grupo de cotización</t>
  </si>
  <si>
    <t>Categoría profesional</t>
  </si>
  <si>
    <t>Puesto</t>
  </si>
  <si>
    <t>Teléfono</t>
  </si>
  <si>
    <t>Salario total anual</t>
  </si>
  <si>
    <t>Salario base anual</t>
  </si>
  <si>
    <t>Complementos salariales anuales</t>
  </si>
  <si>
    <t>Percepciones extrasalariales</t>
  </si>
  <si>
    <t>Percepciones por extraordinarias y complementarias</t>
  </si>
  <si>
    <t>Número de emergencia</t>
  </si>
  <si>
    <t>Fecha de nacimiento</t>
  </si>
  <si>
    <t>Nacionalidad</t>
  </si>
  <si>
    <t>Motivo de baja</t>
  </si>
  <si>
    <t>Coste HR</t>
  </si>
  <si>
    <t>Punto de reunión</t>
  </si>
  <si>
    <t>Correo electrónico</t>
  </si>
  <si>
    <t>Precio por hora</t>
  </si>
  <si>
    <t>Observaciones</t>
  </si>
  <si>
    <t>Coste por hora</t>
  </si>
  <si>
    <t>Id importación</t>
  </si>
  <si>
    <t>Hombre~Mujer</t>
  </si>
  <si>
    <t>Auxiliares Administrativos~Ayudantes no Titulados~Ingenieros Técnicos, Peritos y Ayudantes Titulados~Ingenieros y Licenciados~Jefes Administrativos y de Taller~Oficiales Administrativos~Oficiales de primera y segunda~Oficiales de tercera y Especialistas~Peones~Subalternos~Trabajadores menores de 18 años</t>
  </si>
  <si>
    <t>En prácticas~Indefinido~Temporal</t>
  </si>
  <si>
    <t>Baja voluntaria~Defunción~Despido~Finalización del contrato temporal~Incapacidad~Invalidez~Jubilación~Por causas convenidas en el contrato</t>
  </si>
  <si>
    <t>Personal</t>
  </si>
  <si>
    <t>Laboral</t>
  </si>
  <si>
    <t>Reglas generales</t>
  </si>
  <si>
    <t>24 horas todo el año</t>
  </si>
  <si>
    <t>Presentes</t>
  </si>
  <si>
    <t>Ausentes</t>
  </si>
  <si>
    <t>OrinocoPlainFile</t>
  </si>
  <si>
    <t>SQL POR</t>
  </si>
  <si>
    <t>Médico</t>
  </si>
  <si>
    <t>Festivo</t>
  </si>
  <si>
    <t>SQL ESP</t>
  </si>
  <si>
    <t>Vacaciones iniciales</t>
  </si>
  <si>
    <t>Férias do ano anterior</t>
  </si>
  <si>
    <t>Férias ATEP</t>
  </si>
  <si>
    <t xml:space="preserve">Horas suplementares </t>
  </si>
  <si>
    <t>Casamento próprio</t>
  </si>
  <si>
    <t>Casamento familiar</t>
  </si>
  <si>
    <t>Exames oficiais</t>
  </si>
  <si>
    <t>Exames pré-natais e técnicas de preparação para o parto</t>
  </si>
  <si>
    <t>Aleitamento materno</t>
  </si>
  <si>
    <t>8 semanas de licença parental</t>
  </si>
  <si>
    <t>Licença de força maior</t>
  </si>
  <si>
    <t>Maternidade/Paternidade</t>
  </si>
  <si>
    <t>Férias</t>
  </si>
  <si>
    <t>Nascimento de um filho</t>
  </si>
  <si>
    <t>VT. Excesso de tempo não autorizado</t>
  </si>
  <si>
    <t>VT. Expiração de férias</t>
  </si>
  <si>
    <t>Tempo de ausência justificada e remunerada.</t>
  </si>
  <si>
    <t xml:space="preserve">Lembre-se de que pode adaptar este horário quando o planear, pois permite-lhe atribuir uma hora de entrada, número de horas normais e complementares.  Neste exemplo, duas faixas horárias.  </t>
  </si>
  <si>
    <t>Férias iniciais</t>
  </si>
  <si>
    <t>Dias de férias anuais</t>
  </si>
  <si>
    <t>Custo RH</t>
  </si>
  <si>
    <t>Férias CC</t>
  </si>
  <si>
    <t xml:space="preserve">Horas extraordinárias </t>
  </si>
  <si>
    <t>Tempo previsto que não foi trabalhado e que deve ser compensado noutra altura.</t>
  </si>
  <si>
    <t>Horas a compensar</t>
  </si>
  <si>
    <t>Horas positivas que são compensadas para compensar as horas negativas que podem ser trabalhadas, adequadas para empresas com flexibilidade.</t>
  </si>
  <si>
    <t xml:space="preserve">Horas de compensação </t>
  </si>
  <si>
    <t>Amamentação</t>
  </si>
  <si>
    <t xml:space="preserve">Licença legal não remunerada </t>
  </si>
  <si>
    <t>A licença remunerada é um tipo de ausência durante a qual o trabalhador continua a ser compensado financeiramente. As férias remuneradas são reguladas no artigo 37.º do Estatuto dos Trabalhadores e nas convenções colectivas.</t>
  </si>
  <si>
    <t>Licença legal remunerada</t>
  </si>
  <si>
    <t>Transferência do local de residência habitual</t>
  </si>
  <si>
    <t xml:space="preserve">Feriados do ano anterior. </t>
  </si>
  <si>
    <t>Feriados do ano anterior</t>
  </si>
  <si>
    <t>VT. Feriados de reporte</t>
  </si>
  <si>
    <t>VT. Transporte de férias</t>
  </si>
  <si>
    <t>VT. Horas planeadas</t>
  </si>
  <si>
    <t>Ausência sem motivo justificado que gera um alerta. O objetivo é que não haja tempo justificado para este motivo. Justificação VisualTime interna, a não apagar ou modificar.</t>
  </si>
  <si>
    <t>VT. INEXCUSADO</t>
  </si>
  <si>
    <t>Tempo de ausência justificada não remunerada.</t>
  </si>
  <si>
    <t>Ausência não remunerada</t>
  </si>
  <si>
    <t>Ausência remunerada</t>
  </si>
  <si>
    <t xml:space="preserve">Este saldo deve subtrair todas as “horas a compensar” e adicionar todas as “horas compensadas”. Se o total deste saldo for negativo, o trabalhador deve horas à empresa.  Se o total deste saldo for positivo, a empresa deve horas ao empregado. </t>
  </si>
  <si>
    <t>Saldo de horas</t>
  </si>
  <si>
    <t>Horas complementares</t>
  </si>
  <si>
    <t>Tempo planeado, é o tempo que tenho de trabalhar de acordo com o horário.</t>
  </si>
  <si>
    <t>Todo o tempo que é considerado como trabalho efetivo, sem contar com as horas extraordinárias.</t>
  </si>
  <si>
    <t>Trabalho efetivo</t>
  </si>
  <si>
    <t xml:space="preserve">Lembre-se que pode adaptar este horário quando o planear, pois permite-lhe atribuir uma hora de início, o número de horas ordinárias e complementares.  Neste exemplo, apenas uma faixa horária.  </t>
  </si>
  <si>
    <t>Faixas horárias curinga 2</t>
  </si>
  <si>
    <t xml:space="preserve">Este horário é apenas para os casos em que apenas se pretende registar o dia de trabalho (para cumprir os regulamentos) e não se vai realizar qualquer tipo de gestão de tempo.  </t>
  </si>
  <si>
    <t xml:space="preserve">Este horário tem 0 horas teóricas. Só está planeado para dias em que o funcionário tem um dia inteiro de folga e, por isso, não é necessário efetuar qualquer marcação de ponto.  </t>
  </si>
  <si>
    <t>Intervalo</t>
  </si>
  <si>
    <t xml:space="preserve">Este horário tem 0 horas planeadas. Só deve ser programado para os dias em que o trabalhador tem um feriado e, por isso, não vai marcar o ponto. </t>
  </si>
  <si>
    <t xml:space="preserve">Exemplo de um horário de escritório rígido (horas obrigatórias), com entrada às 8:00 e saída às 14:00 e entrada às 15:00 e saída às 17:00, não se esqueça de registar as suas pausas.  </t>
  </si>
  <si>
    <t>Combinação de escritórios</t>
  </si>
  <si>
    <t xml:space="preserve">Exemplo de um horário intensivo (horas obrigatórias), com uma hora de início às 6:00 e uma hora de fim às 14:00.  </t>
  </si>
  <si>
    <t>Turno de produção das 6:00 às 14:00</t>
  </si>
  <si>
    <t xml:space="preserve">Feriados em dias úteis.  </t>
  </si>
  <si>
    <t xml:space="preserve">Feriados no ano anterior.  </t>
  </si>
  <si>
    <t>Verifique quanto resta do recálculo do VisualTime e quantos empregados são afectados.</t>
  </si>
  <si>
    <t>Mostra as permissões dos diferentes supervisores nos pedidos pendentes, incluindo se o supervisor é ou não direto para cada pedido.</t>
  </si>
  <si>
    <t>Permissões nos pedidos pendentes</t>
  </si>
  <si>
    <t>Ver as marcações de ponto efectuadas numa data específica (pode escolher a data)</t>
  </si>
  <si>
    <t>Ver as marcações de ponto que tiveram lugar numa data específica (pode escolher a data)</t>
  </si>
  <si>
    <t>Suplementos ao salário anual</t>
  </si>
  <si>
    <t>Horário normal</t>
  </si>
  <si>
    <t>Transferência de férias</t>
  </si>
  <si>
    <t xml:space="preserve">As férias do ano anterior podem ser gozadas até 31/1 do ano em curso. Se não forem gozadas, perdem-se (caducam). </t>
  </si>
  <si>
    <t>Caducidade das férias do ano anterior</t>
  </si>
  <si>
    <t>Limite de 80 horas de trabalho suplementar a pagar</t>
  </si>
  <si>
    <t>Funções inescusáveis, de carácter público e/ou pessoal</t>
  </si>
  <si>
    <t>Deveres inescusáveis, de carácter público e/ou pessoal</t>
  </si>
  <si>
    <t>Aqueles que excedem as horas normais do dia de trabalho, mas cuja prestação foi acordada e convencionada num contrato a tempo parcial. Podem ser de 2 tipos: -Horas acordadas: Contratos a tempo parcial com uma jornada de trabalho não inferior a dez horas por semana, numa base anual. Horas voluntárias: Contratos a tempo parcial de duração indeterminada com um horário de trabalho não inferior a 10 horas por semana numa base anual.</t>
  </si>
  <si>
    <t>Horas trabalhadas para além da duração máxima do dia de trabalho normal estabelecida por lei ou por acordo.  Este tipo de horas pode ser efectuado, no máximo, 80 horas por ano.</t>
  </si>
  <si>
    <t>Horas prestadas dentro do horário de trabalho do trabalhador.</t>
  </si>
  <si>
    <t>Nascimento da criança</t>
  </si>
  <si>
    <t>Licença para assistência a familiares do 2.º grau ou a pessoas que vivam em união de facto</t>
  </si>
  <si>
    <t>Licença para assistência a familiares de 2.º grau ou a pessoas que vivam em união de facto</t>
  </si>
  <si>
    <t xml:space="preserve">Esta licença pode ser gozada por qualquer motivo, exceto se a convenção aplicável dispuser em contrário e se existir um acordo entre a entidade patronal e o trabalhador. Suspende a obrigação de trabalhar e de pagar o salário correspondente ao tempo em que o trabalhador está ausente. Não são reguladas por lei (exceto em algumas convenções colectivas). As condições de utilização e gozo destas licenças/licenças são reguladas por acordos entre a entidade patronal e o trabalhador. </t>
  </si>
  <si>
    <t>Ausência devido a férias anuais remuneradas. Não é substituível por uma compensação financeira, será a acordada na Convenção Colectiva ou no contrato individual. Respeitando este acordo, o mínimo legal de 30 dias de calendário por ano.</t>
  </si>
  <si>
    <t>As horas que foram planeadas para o trabalhador e que este deve gozar. Justificação interna do VisualTime, que não deve ser eliminada ou modificada.</t>
  </si>
  <si>
    <t>Horas extraordinárias. Máximo de 80h por ano.</t>
  </si>
  <si>
    <t>Horas suplementares para os contratos a tempo parcial.</t>
  </si>
  <si>
    <t>Este saldo mostra as férias pendentes a gozar.   Saldo inicial de férias - férias gozadas = férias a gozar</t>
  </si>
  <si>
    <t>Férias pendentes</t>
  </si>
  <si>
    <t>Férias gozadas no ano anterior</t>
  </si>
  <si>
    <t>Saldo negativo de férias</t>
  </si>
  <si>
    <t>Faixa horária de 1 curinga</t>
  </si>
  <si>
    <t xml:space="preserve">Este é um horário totalmente flexível. O trabalhador pode entrar e sair livremente entre as 6:00h e as 23:00h e só será monitorizado se trabalhar mais ou menos do que as 8 horas previstas.  </t>
  </si>
  <si>
    <t>8 horas flexíveis</t>
  </si>
  <si>
    <t>Verificar quanto resta do recálculo do VisualTime e quantos trabalhadores são afectados.</t>
  </si>
  <si>
    <t>Verificar se existe alguma tarefa que não tenha podido ser executada normalmente.</t>
  </si>
  <si>
    <t>Verificar se existem tarefas que não puderam ser executadas normalmente.</t>
  </si>
  <si>
    <t>Relatório de feriados pendentes</t>
  </si>
  <si>
    <t>Assistentes administrativos~Assistentes não diplomados~Engenheiros técnicos, especialistas e assistentes diplomados~Engenheiros e diplomados~Gestores administrativos e de oficina~Funcionários administrativos~Funcionários de primeira e segunda classe~Funcionários de terceira classe e especialistas~Peões~Subordinados~Trabalhadores com menos de 18 anos</t>
  </si>
  <si>
    <t>Endereço de correio eletrónico</t>
  </si>
  <si>
    <t>Correio</t>
  </si>
  <si>
    <t>ENG</t>
  </si>
  <si>
    <t>Planned time that has not been worked and must be made up at another time.</t>
  </si>
  <si>
    <t>Vacation</t>
  </si>
  <si>
    <t>All the time that is considered effective work, not counting overtime.</t>
  </si>
  <si>
    <t>Effective work</t>
  </si>
  <si>
    <t>My company</t>
  </si>
  <si>
    <t>General rules</t>
  </si>
  <si>
    <t>Festive</t>
  </si>
  <si>
    <t>Mixed (hours+occurrences)</t>
  </si>
  <si>
    <t>Occurrences</t>
  </si>
  <si>
    <t>Check the group to which the employees belong. Short and complete route</t>
  </si>
  <si>
    <t>Professional category</t>
  </si>
  <si>
    <t>Annual salary supplements</t>
  </si>
  <si>
    <t>Visualtime</t>
  </si>
  <si>
    <t>Email</t>
  </si>
  <si>
    <t>Cost per hour</t>
  </si>
  <si>
    <t>Personnel</t>
  </si>
  <si>
    <t>Gender</t>
  </si>
  <si>
    <t>Mobile</t>
  </si>
  <si>
    <t>Nationality</t>
  </si>
  <si>
    <t>Emergency number</t>
  </si>
  <si>
    <t>Observations</t>
  </si>
  <si>
    <t>Price per hour</t>
  </si>
  <si>
    <t>Province</t>
  </si>
  <si>
    <t>Position</t>
  </si>
  <si>
    <t>Meeting point</t>
  </si>
  <si>
    <t>Total annual salary</t>
  </si>
  <si>
    <t>Phone</t>
  </si>
  <si>
    <t>Type of contract</t>
  </si>
  <si>
    <t>Hours with special remuneration</t>
  </si>
  <si>
    <t>Night hours</t>
  </si>
  <si>
    <t>Normal hours</t>
  </si>
  <si>
    <t>SQL_ENG</t>
  </si>
  <si>
    <t>FR</t>
  </si>
  <si>
    <t>IT</t>
  </si>
  <si>
    <t>SK</t>
  </si>
  <si>
    <t>24 heures sur 24 toute l'année</t>
  </si>
  <si>
    <t>Ceux qui dépassent les heures normales de la journée de travail mais dont l'exécution a été convenue dans le cadre d'un contrat à temps partiel. Ils peuvent être de deux types : -Heures convenues : contrats à temps partiel dont la journée de travail n'est pas inférieure à dix heures par semaine sur une base annuelle. -Heures volontaires : contrats à temps partiel à durée indéterminée dont la durée de travail n'est pas inférieure à 10 heures par semaine sur une base annuelle.</t>
  </si>
  <si>
    <t>heures complémentaires</t>
  </si>
  <si>
    <t>Heures de travail effectuées au-delà de la durée maximale de la journée de travail ordinaire fixée par la loi ou par convention.  Un maximum de 80 heures de ce type peut être effectué par an.</t>
  </si>
  <si>
    <t>Heures supplémentaires</t>
  </si>
  <si>
    <t>Heures normales</t>
  </si>
  <si>
    <t>Temps planifié qui n'a pas été travaillé et qui doit être rattrapé à un autre moment.</t>
  </si>
  <si>
    <t>Médecin</t>
  </si>
  <si>
    <t>Il s'agit d'un congé qui peut être pris pour n'importe quelle raison, sauf si la convention applicable en dispose autrement et s'il existe un accord entre l'employeur et le salarié. Il suspend l'obligation de travailler et de verser le salaire correspondant à la durée de l'absence. Elles ne sont pas réglementées par la loi (sauf dans certaines conventions collectives). Les conditions d'utilisation et de jouissance de ces congés sont régies par des accords entre l'employeur et l'employé.</t>
  </si>
  <si>
    <t>Congé légal non rémunéré</t>
  </si>
  <si>
    <t>Le congé payé est un type d'absence pendant lequel le travailleur continue d'être rémunéré. Les congés payés sont régis par l'article 37 du statut des travailleurs et par les conventions collectives.</t>
  </si>
  <si>
    <t>Congé légal payé</t>
  </si>
  <si>
    <t>Absence due au congé annuel payé. Elle n'est pas remplaçable par une compensation financière ; elle correspondra au montant convenu dans la convention collective ou le contrat individuel. Dans le respect de cet accord, le minimum légal est de 30 jours calendaires par an.</t>
  </si>
  <si>
    <t>Des vacances</t>
  </si>
  <si>
    <t>Les heures qui ont été planifiées pour l'employé et qui doivent être effectuées par lui. Justification VisualTime interne, à ne pas supprimer ou modifier.</t>
  </si>
  <si>
    <t>Absence non excusée qui génère une alerte. L'objectif est qu'il n'y ait pas de temps justifié pour cette raison. Justification VisualTime interne, à ne pas supprimer ou modifier.</t>
  </si>
  <si>
    <t>VT. NON JUSTIFIÉ</t>
  </si>
  <si>
    <t>Ce solde soustrait toutes les "heures à récupérer" et ajoute toutes les "heures récupérées". Si le total de ce solde est négatif, le salarié doit des heures à l'entreprise.  Si le total de ce solde est positif, l'entreprise doit des heures au salarié.</t>
  </si>
  <si>
    <t>Heures supplémentaires pour les contrats à temps partiel.</t>
  </si>
  <si>
    <t>Le temps planifié, c'est le temps que je dois consacrer aux horaires</t>
  </si>
  <si>
    <t>Tout le temps considéré comme du travail effectif, à l'exclusion des heures supplémentaires.</t>
  </si>
  <si>
    <t>Un travail efficace</t>
  </si>
  <si>
    <t>Ce solde indique les congés restant à prendre.   Solde initial des congés - congés pris = congés restant à prendre</t>
  </si>
  <si>
    <t>Vacances en suspens</t>
  </si>
  <si>
    <t>Mon entreprise</t>
  </si>
  <si>
    <t>Règles générales</t>
  </si>
  <si>
    <t xml:space="preserve">Cet horaire comporte 0 heure planifiée. Il ne doit être planifié que les jours où le salarié a un jour de congé complet et ne pointera donc pas.  </t>
  </si>
  <si>
    <t>De fête</t>
  </si>
  <si>
    <t xml:space="preserve">Jours fériés pendant les jours ouvrables.  </t>
  </si>
  <si>
    <t>Vacances initiales</t>
  </si>
  <si>
    <t>Heures</t>
  </si>
  <si>
    <t>Mixte (heures+occurrences)</t>
  </si>
  <si>
    <t>Assurez-vous de la durée restante du recalcul de VisualTime et du nombre d'employés concernés</t>
  </si>
  <si>
    <t>Vérifier le groupe auquel appartiennent les employés. Itinéraire court et complet</t>
  </si>
  <si>
    <t>Vérifier qu'une tâche n'a pas pu être exécutée normalement</t>
  </si>
  <si>
    <t>Vérifier si le recalcul après les changements effectués dans VisualTime fonctionne correctement</t>
  </si>
  <si>
    <t>Pour savoir si le fichier de corrélation est correctement introduit dans la base de données</t>
  </si>
  <si>
    <t>Voir les signatures qui ont eu lieu à une date précise (vous pouvez choisir la date)</t>
  </si>
  <si>
    <t>Affichage des tâches en suspens sur les terminaux après la diffusion</t>
  </si>
  <si>
    <t>Rapport d'équilibre</t>
  </si>
  <si>
    <t>Un rapport de vacances exceptionnel</t>
  </si>
  <si>
    <t>Professionnel</t>
  </si>
  <si>
    <t>Catégorie professionnelle</t>
  </si>
  <si>
    <t>Assistants administratifs~Assistants diplômés~Ingénieurs techniques, experts et assistants diplômés~Ingénieurs et diplômés~Chefs d'administration et d'atelier~Officiers administratifs~Officiers de première et de deuxième classe~Officiers de troisième classe et spécialistes~Peons~Subalternes~Travailleurs de moins de 18 ans</t>
  </si>
  <si>
    <t>Code postal</t>
  </si>
  <si>
    <t>Primes annuelles</t>
  </si>
  <si>
    <t>Courrier électronique</t>
  </si>
  <si>
    <t>Coût RH</t>
  </si>
  <si>
    <t>Coût par heure</t>
  </si>
  <si>
    <t>Date de naissance</t>
  </si>
  <si>
    <t>Sexe</t>
  </si>
  <si>
    <t>Homme~Femme</t>
  </si>
  <si>
    <t>Groupe de cotisation</t>
  </si>
  <si>
    <t>identifiant d'importation</t>
  </si>
  <si>
    <t>Raison du départ</t>
  </si>
  <si>
    <t>Congé volontaire~Licenciement~Licenciement~Rupture temporaire du contrat~Invalidité~Retraite~Pour des raisons convenues dans le contrat</t>
  </si>
  <si>
    <t>Portable</t>
  </si>
  <si>
    <t>Nationalité</t>
  </si>
  <si>
    <t>Numéro d´urgence</t>
  </si>
  <si>
    <t>Remarques</t>
  </si>
  <si>
    <t>Revenus non-salariaux</t>
  </si>
  <si>
    <t>Revenus d’heures supplémentaires et complémentaires</t>
  </si>
  <si>
    <t>Ville</t>
  </si>
  <si>
    <t>Prix par heure</t>
  </si>
  <si>
    <t>Région</t>
  </si>
  <si>
    <t>Poste</t>
  </si>
  <si>
    <t>Point de REUNION</t>
  </si>
  <si>
    <t>Salaire, base annuelle</t>
  </si>
  <si>
    <t>Salaire total annuel</t>
  </si>
  <si>
    <t>Téléphone</t>
  </si>
  <si>
    <t>Type de contrat</t>
  </si>
  <si>
    <t>Stagiaire~Indefini~Temporaire</t>
  </si>
  <si>
    <t>Heures avec rémunération spéciale</t>
  </si>
  <si>
    <t>Heures de nuit</t>
  </si>
  <si>
    <t>Absents</t>
  </si>
  <si>
    <t>Présent</t>
  </si>
  <si>
    <t>24 ore su 24 tutto l'anno</t>
  </si>
  <si>
    <t>24 ore Totale</t>
  </si>
  <si>
    <t>Vacanze a strascico</t>
  </si>
  <si>
    <t>Quelli che eccedono l'orario ordinario della giornata lavorativa, ma la cui prestazione è stata concordata e stabilita in un contratto part-time. Possono essere di 2 tipi: -Orario concordato: contratti a tempo parziale con una giornata lavorativa non inferiore a dieci ore settimanali su base annua. -Orario volontario: contratti part-time a tempo indeterminato con una giornata lavorativa non inferiore a 10 ore settimanali su base annua.</t>
  </si>
  <si>
    <t>ore complementari</t>
  </si>
  <si>
    <t>Ore di lavoro svolte oltre la durata massima della giornata lavorativa ordinaria stabilita per legge o per accordo.  Questo tipo di lavoro può essere svolto per un massimo di 80 ore all'anno.</t>
  </si>
  <si>
    <t>Lavoro straordinario</t>
  </si>
  <si>
    <t>Tempo pianificato che non è stato lavorato e che deve essere recuperato in un altro momento.</t>
  </si>
  <si>
    <t>Il medico</t>
  </si>
  <si>
    <t>Si tratta di un congedo che può essere preso per qualsiasi motivo, a meno che il contratto applicabile non specifichi diversamente e vi sia un accordo tra datore di lavoro e dipendente. Sospende l'obbligo di lavorare e di pagare la retribuzione corrispondente al periodo di assenza del dipendente. Non sono regolati dalla legge (tranne che in alcuni contratti collettivi). Le condizioni di utilizzo e di godimento di questi permessi/permessi sono regolate da accordi tra datore di lavoro e dipendente.</t>
  </si>
  <si>
    <t>Congedo obbligatorio non retribuito</t>
  </si>
  <si>
    <t>Il congedo retribuito è un tipo di assenza durante la quale il lavoratore continuerà a essere compensato economicamente. I permessi retribuiti sono disciplinati dall'articolo 37 dello Statuto dei lavoratori e dai contratti collettivi.</t>
  </si>
  <si>
    <t>Congedo legale retribuito</t>
  </si>
  <si>
    <t>Assenza dovuta a ferie annuali retribuite. Non è sostituibile da una compensazione economica; sarà l'importo concordato nel Contratto Collettivo o nel contratto individuale. Nel rispetto di questo accordo il minimo legale è di 30 giorni di calendario all'anno.</t>
  </si>
  <si>
    <t>Vacanza</t>
  </si>
  <si>
    <t>Le ore che sono state pianificate per il dipendente e che devono essere svolte da quest'ultimo. Giustificazione interna di VisualTime, da non cancellare o modificare.</t>
  </si>
  <si>
    <t>Assenza ingiustificata che genera un avviso. L'obiettivo è che non ci sia un orario giustificato per questo motivo. Giustificazione interna di VisualTime, da non cancellare o modificare.</t>
  </si>
  <si>
    <t>VT. NON GIUSTIFICATO</t>
  </si>
  <si>
    <t>Questo saldo sottrae tutte le "ore da recuperare" e aggiunge tutte le "ore recuperate". Se il totale di questo saldo è negativo, il dipendente deve delle ore all'azienda.  Se il totale di questo saldo è positivo, l'azienda deve delle ore al dipendente.</t>
  </si>
  <si>
    <t>Ore aggiuntive per contratti part-time.</t>
  </si>
  <si>
    <t>Tempo pianificato, questo è il tempo che devo dedicare agli orari</t>
  </si>
  <si>
    <t>Tutto il tempo che viene considerato lavoro effettivo, esclusi gli straordinari.</t>
  </si>
  <si>
    <t>Lavoro efficace</t>
  </si>
  <si>
    <t>Questo saldo indica le ferie ancora da prendere.   Saldo iniziale delle ferie - ferie godute = ferie arretrate</t>
  </si>
  <si>
    <t>Vacanze in attesa</t>
  </si>
  <si>
    <t>La mia azienda</t>
  </si>
  <si>
    <t>Regole generali</t>
  </si>
  <si>
    <t xml:space="preserve">Questo orario ha 0 ore pianificate. Deve essere pianificato solo nei giorni in cui il dipendente ha un'intera giornata libera e quindi non timbra il cartellino.  </t>
  </si>
  <si>
    <t xml:space="preserve">Ferie nei giorni lavorativi.  </t>
  </si>
  <si>
    <t>Vacanze iniziali</t>
  </si>
  <si>
    <t>Misto (ore+occorrenze)</t>
  </si>
  <si>
    <t>Occorrenze</t>
  </si>
  <si>
    <t>Accertarsi di quanto sia rimasto del ricalcolo di VisualTime e di quanti dipendenti siano interessati</t>
  </si>
  <si>
    <t>Controllare il gruppo di appartenenza dei dipendenti. Percorso breve e completo</t>
  </si>
  <si>
    <t>Verificare se c'è un'attività che non può essere eseguita normalmente</t>
  </si>
  <si>
    <t>Controllare se il ricalcolo dopo le modifiche apportate in VisualTime funziona correttamente</t>
  </si>
  <si>
    <t>Per sapere se il file di correlazione è stato inserito correttamente nel database</t>
  </si>
  <si>
    <t>Vedere le firme che hanno avuto luogo in una data specifica (è possibile scegliere la data)</t>
  </si>
  <si>
    <t>Visualizzazione dei compiti in sospeso appesi ai terminali dopo la trasmissione</t>
  </si>
  <si>
    <t>Rapporto di bilancio</t>
  </si>
  <si>
    <t>Eccezionale relazione sulle vacanze</t>
  </si>
  <si>
    <t>Lavorativo</t>
  </si>
  <si>
    <t>Categoria professionale</t>
  </si>
  <si>
    <t>Assistenti amministrativi~Assistenti non laureati~Ingegneri tecnici, periti e assistenti laureati~Ingegneri e laureati~Responsabili amministrativi e di officina~Ufficiali amministrativi~Ufficiali di prima e seconda classe~Ufficiali di terza classe e specialisti~Peoni~Subalterni~Lavoratori di età inferiore ai 18 anni</t>
  </si>
  <si>
    <t>Codice postale</t>
  </si>
  <si>
    <t>Complementi salariali annuali</t>
  </si>
  <si>
    <t>E-mail</t>
  </si>
  <si>
    <t>Costo delle risorse umane</t>
  </si>
  <si>
    <t>Costo all´ora</t>
  </si>
  <si>
    <t>Personale</t>
  </si>
  <si>
    <t>Data di nascita</t>
  </si>
  <si>
    <t>Genere</t>
  </si>
  <si>
    <t>Maschio~Femmina</t>
  </si>
  <si>
    <t>Gruppo contributivo</t>
  </si>
  <si>
    <t>ID importazione</t>
  </si>
  <si>
    <t>Motivo della partenza</t>
  </si>
  <si>
    <t>Congedo volontario~Licenziamento~Licenziamento~Temporanea risoluzione del contratto~Inabilità~Invalidità~Pensionamento~Per motivi concordati nel contratto</t>
  </si>
  <si>
    <t>Cellulare</t>
  </si>
  <si>
    <t>Nazionalità</t>
  </si>
  <si>
    <t>CF</t>
  </si>
  <si>
    <t>Numero di emergenza</t>
  </si>
  <si>
    <t>Osservazioni</t>
  </si>
  <si>
    <t>Riscossioni extrasalariali</t>
  </si>
  <si>
    <t>Riscossioni per straordinari e complementari</t>
  </si>
  <si>
    <t>Comune</t>
  </si>
  <si>
    <t>Prezzo per ora</t>
  </si>
  <si>
    <t>Punto d'incontro</t>
  </si>
  <si>
    <t>Salario base annuale</t>
  </si>
  <si>
    <t>Salario totale annuale</t>
  </si>
  <si>
    <t>Telefono</t>
  </si>
  <si>
    <t>Tipo di contratto</t>
  </si>
  <si>
    <t>Apprendista~Indefinito~Temporaneo</t>
  </si>
  <si>
    <t>Ore con retribuzione speciale</t>
  </si>
  <si>
    <t>Orario notturno</t>
  </si>
  <si>
    <t>Orario normale</t>
  </si>
  <si>
    <t>Assenti</t>
  </si>
  <si>
    <t>24 hodín po celý rok</t>
  </si>
  <si>
    <t>24 h Spolu</t>
  </si>
  <si>
    <t>Vlečná sieť na dovolenke</t>
  </si>
  <si>
    <t>Tí, ktorí prekračujú bežný pracovný čas, ale ktorých výkon bol dohodnutý a schválený v zmluve na čiastočný úväzok. Môžu byť 2 typy: -Dohodnutý pracovný čas: Zmluvy na čiastočný úväzok s pracovným dňom v rozsahu najmenej desať hodín týždenne na ročnom základe. -Dobrovoľné hodiny: Zmluvy na čiastočný úväzok na dobu neurčitú s pracovným dňom nie kratším ako 10 hodín týždenne na ročnom základe.</t>
  </si>
  <si>
    <t>doplnkové hodiny</t>
  </si>
  <si>
    <t>Hodiny práce vykonávanej v rámci maximálneho trvania bežného pracovného dňa stanoveného zákonom alebo dohodou.  Za rok sa môže odpracovať maximálne 80 hodín tohto druhu práce.</t>
  </si>
  <si>
    <t>Nadčasy</t>
  </si>
  <si>
    <t>Bežné hodiny</t>
  </si>
  <si>
    <t>Plánovaný čas, ktorý nebol odpracovaný a musí byť nahradený v inom čase.</t>
  </si>
  <si>
    <t>Doktor</t>
  </si>
  <si>
    <t>Ide o dovolenku, ktorú si možno vziať z akéhokoľvek dôvodu, pokiaľ platná dohoda nestanovuje inak a pokiaľ neexistuje dohoda medzi zamestnávateľom a zamestnancom. Pozastavuje povinnosť pracovať a vyplácať mzdu zodpovedajúcu času, počas ktorého bol zamestnanec neprítomný. Nie sú upravené zákonom (s výnimkou niektorých kolektívnych zmlúv). Podmienky čerpania a využívania týchto dovoleniek/odpočinku upravujú dohody medzi zamestnávateľom a zamestnancom.</t>
  </si>
  <si>
    <t>Neplatená zákonná dovolenka</t>
  </si>
  <si>
    <t>Platené voľno je druh neprítomnosti, počas ktorej pracovník naďalej dostáva finančnú náhradu. Platené voľno je upravené v článku 37 Štatútu zamestnancov a v kolektívnych zmluvách.</t>
  </si>
  <si>
    <t>Platená zákonná dovolenka</t>
  </si>
  <si>
    <t>Neprítomnosť z dôvodu platenej dovolenky. Nenahrádza sa finančnou náhradou; jej výška je dohodnutá v kolektívnej zmluve alebo v individuálnej zmluve. Pri rešpektovaní tejto dohody je zákonné minimum 30 kalendárnych dní ročne.</t>
  </si>
  <si>
    <t>Dovolenka</t>
  </si>
  <si>
    <t>Hodiny, ktoré boli pre zamestnanca naplánované a ktoré by mal vykonať. Interné zdôvodnenie VisualTime, ktoré sa nesmie vymazať ani zmeniť.</t>
  </si>
  <si>
    <t>Neospravedlnená neprítomnosť, ktorá generuje upozornenie. Cieľom je, aby z tohto dôvodu nebol ospravedlnený čas. Interné ospravedlnenie VisualTime, ktoré sa nesmie vymazať ani upraviť.</t>
  </si>
  <si>
    <t>VT. NIE JE OSPRAVODLNENÝ</t>
  </si>
  <si>
    <t>Týmto zostatkom sa odpočítajú všetky "hodiny, ktoré sa majú obnoviť" a pripočítajú sa všetky "obnovené hodiny". Ak je súčet tohto zostatku záporný, zamestnanec dlhuje spoločnosti hodiny.  Ak je súčet tohto zostatku kladný, spoločnosť dlhuje zamestnancovi hodiny.</t>
  </si>
  <si>
    <t>Ďalšie hodiny pre zmluvy na čiastočný úväzok.</t>
  </si>
  <si>
    <t>Plánovaný čas, to je čas, ktorý musím venovať rozvrhom</t>
  </si>
  <si>
    <t>Celý čas, ktorý sa považuje za efektívnu prácu, okrem nadčasov.</t>
  </si>
  <si>
    <t>Efektívna práca</t>
  </si>
  <si>
    <t>Tento zostatok zobrazuje nevyčerpanú dovolenku, ktorá sa má vyčerpať.   Počiatočný zostatok dovolenky - vyčerpaná dovolenka = nevyčerpaná dovolenka</t>
  </si>
  <si>
    <t>Dovolenka v očakávaní</t>
  </si>
  <si>
    <t>Moja spoločnosť</t>
  </si>
  <si>
    <t>Všeobecné pravidlá</t>
  </si>
  <si>
    <t xml:space="preserve">Tento rozvrh má 0 plánovaných hodín. Plánuje sa len v dňoch, keď má zamestnanec celý voľný deň, a preto nebude mať hodiny.  </t>
  </si>
  <si>
    <t>Slávnostné</t>
  </si>
  <si>
    <t xml:space="preserve">Sviatky v pracovných dňoch.  </t>
  </si>
  <si>
    <t>Počiatočné prázdniny</t>
  </si>
  <si>
    <t>Zmiešané (hodiny+výskyt)</t>
  </si>
  <si>
    <t>Výskyt</t>
  </si>
  <si>
    <t>Uistite sa, koľko zostáva z prepočtu VisualTime a koľkých zamestnancov sa to týka</t>
  </si>
  <si>
    <t>Skontrolujte skupinu, do ktorej zamestnanci patria. Krátka a úplná trasa</t>
  </si>
  <si>
    <t>Skontrolujte, či existuje úloha, ktorú nebolo možné normálne vykonať</t>
  </si>
  <si>
    <t>Skontrolujte, či prepočet po zmenách vykonaných v aplikácii VisualTime funguje správne</t>
  </si>
  <si>
    <t>Ak chcete zistiť, či je korelačný súbor správne vložený do databázy</t>
  </si>
  <si>
    <t>Pozrite si podpisy, ktoré sa uskutočnili v určitý deň (dátum si môžete vybrať)</t>
  </si>
  <si>
    <t>Zobrazenie čakajúcich úloh zavesených na termináloch po vysielaní</t>
  </si>
  <si>
    <t>Bilančná správa</t>
  </si>
  <si>
    <t>Vynikajúca správa o dovolenke</t>
  </si>
  <si>
    <t>Práca</t>
  </si>
  <si>
    <t>Profesionálna kategória</t>
  </si>
  <si>
    <t>Administratívni asistenti~asistenti s vysokoškolským vzdelaním~technickí inžinieri, experti a asistenti s vysokoškolským vzdelaním~inžinieri a absolventi~administratívni pracovníci a vedúci dielní~administratívni úradníci~úradníci prvej a druhej triedy~úradníci tretej triedy a špecialisti~pionieri~podpôradní pracovníci~pracovníci mladší ako 18 rokov</t>
  </si>
  <si>
    <t>Poštové smerovacie číslo</t>
  </si>
  <si>
    <t>Ročné príplatky k platu</t>
  </si>
  <si>
    <t>E-mailová adresa</t>
  </si>
  <si>
    <t>Náklady na ľudské zdroje</t>
  </si>
  <si>
    <t>Náklady na hodinu</t>
  </si>
  <si>
    <t>Zamestnanci</t>
  </si>
  <si>
    <t>Dátum narodenia</t>
  </si>
  <si>
    <t>Pohlavie</t>
  </si>
  <si>
    <t>Muž~Žena</t>
  </si>
  <si>
    <t>Skupina príspevkov</t>
  </si>
  <si>
    <t>Import Id</t>
  </si>
  <si>
    <t>Dôvod odchodu</t>
  </si>
  <si>
    <t>Dobrovoľná dovolenka~Dobrovoľné prepustenie~Dočasné ukončenie zmluvy~Invalidita~Invalidita~Dôchodok~Z dôvodov dohodnutých v zmluve</t>
  </si>
  <si>
    <t>Mobilný portál</t>
  </si>
  <si>
    <t>Štátna príslušnosť</t>
  </si>
  <si>
    <t>Núdzové číslo</t>
  </si>
  <si>
    <t>Poznámky</t>
  </si>
  <si>
    <t>Platby mimo mzdy</t>
  </si>
  <si>
    <t>Mimoriadne a dodatočné platby</t>
  </si>
  <si>
    <t>Obyvateľstvo</t>
  </si>
  <si>
    <t>Hodinová sadzba</t>
  </si>
  <si>
    <t>pošta</t>
  </si>
  <si>
    <t>Miesto stretnutia</t>
  </si>
  <si>
    <t>Základný ročný plat</t>
  </si>
  <si>
    <t>Celkový ročný plat</t>
  </si>
  <si>
    <t>Telefón</t>
  </si>
  <si>
    <t>Typ zmluvy</t>
  </si>
  <si>
    <t>Stážista~Na dobu neurčitú~Dočasne</t>
  </si>
  <si>
    <t>Hodiny s osobitnou odmenou</t>
  </si>
  <si>
    <t>Nočné hodiny</t>
  </si>
  <si>
    <t>Neprítomný</t>
  </si>
  <si>
    <t>Súčasnosť</t>
  </si>
  <si>
    <t>Arrastão de férias</t>
  </si>
  <si>
    <t>horas complementares</t>
  </si>
  <si>
    <t>VT. NÃO JUSTIFICADO</t>
  </si>
  <si>
    <t>Horas suplementares para contratos a tempo parcial.</t>
  </si>
  <si>
    <t>Todo o tempo que é considerado trabalho efetivo, excluindo as horas extraordinárias.</t>
  </si>
  <si>
    <t>Verificar se existe uma tarefa que não pôde ser executada normalmente</t>
  </si>
  <si>
    <t>Complementos salariais anuais</t>
  </si>
  <si>
    <t>Custo de RH</t>
  </si>
  <si>
    <t>Grupo de cotação</t>
  </si>
  <si>
    <t>Telemóvel</t>
  </si>
  <si>
    <t>Remunerações extrassalariais</t>
  </si>
  <si>
    <t>Remunerações por horas extraordinárias e complementares</t>
  </si>
  <si>
    <t>Preço por hora</t>
  </si>
  <si>
    <t>Distrito</t>
  </si>
  <si>
    <t>Salário base anual</t>
  </si>
  <si>
    <t>Salário total anual</t>
  </si>
  <si>
    <t>Estagiário~Indefinido~Temporário</t>
  </si>
  <si>
    <t>Horas com remuneração especial</t>
  </si>
  <si>
    <t>POR.XAVI.INICIAL</t>
  </si>
  <si>
    <t>SQL_FR</t>
  </si>
  <si>
    <t>SQL_IT</t>
  </si>
  <si>
    <t>SQL_SK</t>
  </si>
  <si>
    <t>RES_database_one.startupvalues.vacacionesiniciales.startvaluebase.rotext=0</t>
  </si>
  <si>
    <t>RES_database_one.sysrouserfields.correoelectronico.category.rotext=VisualTime</t>
  </si>
  <si>
    <t>RES_database_one.sysrouserfields.costehr.category.rotext=VisualTime</t>
  </si>
  <si>
    <t>RES_database_one.sysrouserfields.costeporhora.category.rotext=VisualTime</t>
  </si>
  <si>
    <t>RES_database_one.sysrouserfields.grupodecotizacion.listvalues.rotext=1~11~19~2~3~4~5~6~7~8~9</t>
  </si>
  <si>
    <t>RES_database_one.sysrouserfields.idimportacion.category.rotext=VisualTime</t>
  </si>
  <si>
    <t>RES_database_one.sysrouserfields.movil.category.rotext=VisualTime</t>
  </si>
  <si>
    <t>RES_database_one.sysrouserfields.nif.fieldname.rotext=NIF</t>
  </si>
  <si>
    <t>RES_database_one.sysrouserfields.numerodeemergencia.category.rotext=VisualTime</t>
  </si>
  <si>
    <t>RES_database_one.sysrouserfields.precioporhora.category.rotext=VisualTime</t>
  </si>
  <si>
    <t>RES_database_one.sysrouserfields.puntodereunion.category.rotext=VisualTime</t>
  </si>
  <si>
    <t>24 hours a year</t>
  </si>
  <si>
    <t>24 hours Total</t>
  </si>
  <si>
    <t>Vacation Dragging</t>
  </si>
  <si>
    <t>Industrial accident leave</t>
  </si>
  <si>
    <t>Sick leave common illness/non-occupational accident</t>
  </si>
  <si>
    <t>Those that exceed the ordinary hours of the working day but whose performance has been agreed and agreed upon in a part-time contract. They can be of 2 types: - Agreed hours: Part-time contracts with a working day of no less than ten hours per week on an annual basis. - Voluntary hours: Part-time contracts of indefinite duration with a working day of no less than 10 hours per week on an annual basis.</t>
  </si>
  <si>
    <t>Supplementary hours</t>
  </si>
  <si>
    <t>Hours of work carried out over and above the maximum duration of the ordinary working day established by law or convention. A maximum of 80 hours of this type may be carried out per year.</t>
  </si>
  <si>
    <t xml:space="preserve"> Overtime</t>
  </si>
  <si>
    <t>Doctor's visit</t>
  </si>
  <si>
    <t>Doctor</t>
  </si>
  <si>
    <t xml:space="preserve"> This is a leave that can be taken for any reason, unless the applicable agreement specifies otherwise, and there is an agreement between the employer and the employee. This suspends the obligation to work and pay the salary corresponding to the time that the employee has been absent. They are not regulated by law (except in some collective agreements). The conditions of use and enjoyment of these permits/licenses are regulated by agreements between the employer and the employee.</t>
  </si>
  <si>
    <t xml:space="preserve"> Unpaid legal leave</t>
  </si>
  <si>
    <t>Paid leave is a type of absence during which the worker will continue to receive financial compensation. Paid leave is regulated in article 37 of the Workers' Statute and in collective agreements.</t>
  </si>
  <si>
    <t>Paid legal leave</t>
  </si>
  <si>
    <t>The time during which the work activity is carried out mainly at the employee's home or at a place freely chosen by the employee, as an alternative to being carried out in person at the company's work center.</t>
  </si>
  <si>
    <t>Telework</t>
  </si>
  <si>
    <t>These are times that are not authorized by the company or that do not want to be treated either positively or negatively.</t>
  </si>
  <si>
    <t>Unexcused excess time</t>
  </si>
  <si>
    <t>Time to recover</t>
  </si>
  <si>
    <t>Positive hours performed to compensate for negative hours that may be performed.</t>
  </si>
  <si>
    <t>Time recovered</t>
  </si>
  <si>
    <t>The hours that have been planned for the employee and that he/she should work. Internal justification of VisualTime, should not be deleted or modified.</t>
  </si>
  <si>
    <t>Theoretical time</t>
  </si>
  <si>
    <t>Hours worked within the user's planned schedule</t>
  </si>
  <si>
    <t>Absence due to paid annual leave. It cannot be replaced by financial compensation, it will be as agreed in the Collective Agreement or individual contract. This agreement respects the legal minimum of 30 calendar days per year.</t>
  </si>
  <si>
    <t>Absence without a justified reason that generates an alert. The objective is that there is no time justified with this reason. Internal VisualTime justification, it should not be deleted or modified.</t>
  </si>
  <si>
    <t>VT. NOT JUSTIFIED</t>
  </si>
  <si>
    <t xml:space="preserve"> This balance will subtract all the "hours to recover" and add all the "hours recovered". If the total of this balance is negative, the employee owes hours to the company. If the total of this balance is positive, the company owes hours to the worker.</t>
  </si>
  <si>
    <t>Hours+/-</t>
  </si>
  <si>
    <t>Planned time is the time that I have to do according to schedules.</t>
  </si>
  <si>
    <t>Planned time (theory)</t>
  </si>
  <si>
    <t>Time of absence</t>
  </si>
  <si>
    <t>Total absenteeism</t>
  </si>
  <si>
    <t>Additional hours for part-time contracts.</t>
  </si>
  <si>
    <t>Total supplementary hours</t>
  </si>
  <si>
    <t>Overtime.</t>
  </si>
  <si>
    <t>Total overtime</t>
  </si>
  <si>
    <t>This balance shows the vacations pending to be taken. Initial vacation balance - vacations taken = pending vacations</t>
  </si>
  <si>
    <t>Pending holidays</t>
  </si>
  <si>
    <t>Do not ask for vacation if there is no positive balance</t>
  </si>
  <si>
    <t>Holidays, non-working days.</t>
  </si>
  <si>
    <t>Working day</t>
  </si>
  <si>
    <t xml:space="preserve"> This schedule has 0 theoretical hours. It will only be planned on days when the employee has a full day off and therefore will not be clocking in.</t>
  </si>
  <si>
    <t>Non-labor</t>
  </si>
  <si>
    <t xml:space="preserve"> Holidays on working days.</t>
  </si>
  <si>
    <t>Initial vacation</t>
  </si>
  <si>
    <t>0</t>
  </si>
  <si>
    <t>hours</t>
  </si>
  <si>
    <t>Make sure how much is left for the recalculation performed by VisualTime and how many employees it affects</t>
  </si>
  <si>
    <t>Check if there is a task that could not be executed normally</t>
  </si>
  <si>
    <t>Check if customer has GPA</t>
  </si>
  <si>
    <t>Check if recalculation after changes made in VisualTime is working correctly</t>
  </si>
  <si>
    <t>Mustra the permissions of the supervisors in V2</t>
  </si>
  <si>
    <t>Effective leaves of absence</t>
  </si>
  <si>
    <t>Displays permissions on the Employee and Calendar functionalities of supervisors in V2 on employees</t>
  </si>
  <si>
    <t>Effective permissions on specific functionalities</t>
  </si>
  <si>
    <t>Check if the correlation file is correctly entered into the database</t>
  </si>
  <si>
    <t>To know if there are any planned reports being executed</t>
  </si>
  <si>
    <t>View the signings that have taken place on a specific date (you can choose the date)</t>
  </si>
  <si>
    <t>View pending tasks hanging on terminals after broadcasting</t>
  </si>
  <si>
    <t>Balance Report</t>
  </si>
  <si>
    <t>Report of pending vacations</t>
  </si>
  <si>
    <t>Labor</t>
  </si>
  <si>
    <t>Administrative Assistants~Non-Qualified Assistants~Technical Engineers, Experts and Qualified Assistants~Engineers and Graduates~Administrative and Workshop Managers~Administrative Officers~First and Second Class Officers~Third Class Officers and Specialists~Laborers~Subordinates~Workers under 18 years of age</t>
  </si>
  <si>
    <t>Zip code</t>
  </si>
  <si>
    <t>HR cost</t>
  </si>
  <si>
    <t>Staff</t>
  </si>
  <si>
    <t>Birthdate</t>
  </si>
  <si>
    <t>Man~Woman</t>
  </si>
  <si>
    <t>Contribution group</t>
  </si>
  <si>
    <t>Import ID</t>
  </si>
  <si>
    <t>Reason for absence</t>
  </si>
  <si>
    <t>Voluntary resignation~Death~Dismissal~Termination of temporary contract~Incapacity~Disability~Retirement~For reasons agreed in the contract</t>
  </si>
  <si>
    <t>Extra-salary perceptions</t>
  </si>
  <si>
    <t>Extraordinary and complementary perceptions</t>
  </si>
  <si>
    <t>Population</t>
  </si>
  <si>
    <t>Annual base salary</t>
  </si>
  <si>
    <t>Internship~Indefinite~Temporary</t>
  </si>
  <si>
    <t>Initial vacation value</t>
  </si>
  <si>
    <t>Missing</t>
  </si>
  <si>
    <t>Presents</t>
  </si>
  <si>
    <t>RES_database_one.sysrouserfields.provincia.fieldname.rotext=Provincia</t>
  </si>
  <si>
    <t>Nemocenská dovolenka pre pracovné úrazy</t>
  </si>
  <si>
    <t>Nemocenská dovolenka pri bežnej chorobe/nepráci</t>
  </si>
  <si>
    <t>Návšteva lekára</t>
  </si>
  <si>
    <t>Čas, počas ktorého sa práca vykonáva najmä doma alebo na mieste, ktoré si pracovník slobodne zvolí, ako alternatíva k osobnému výkonu práce na pracovisku spoločnosti.</t>
  </si>
  <si>
    <t>Ide o časy, ktoré spoločnosť nepovoľuje alebo ktoré nechcú byť považované za pozitívne alebo negatívne.</t>
  </si>
  <si>
    <t>Neospravedlnený nadčas</t>
  </si>
  <si>
    <t>Čas na zotavenie</t>
  </si>
  <si>
    <t>Kladné hodiny, ktoré sa odpracujú na kompenzáciu záporných hodín, ktoré sa môžu odpracovať.</t>
  </si>
  <si>
    <t>Obnovený čas</t>
  </si>
  <si>
    <t>Teoretický čas</t>
  </si>
  <si>
    <t>Odpracované hodiny v rámci plánovaného rozvrhu používateľa</t>
  </si>
  <si>
    <t>Hodiny+/-</t>
  </si>
  <si>
    <t>Plánovaný čas (teória)</t>
  </si>
  <si>
    <t>Čas mimo domova</t>
  </si>
  <si>
    <t>Celková absencia</t>
  </si>
  <si>
    <t>Celkový počet hodín navyše</t>
  </si>
  <si>
    <t>Nadčasy.</t>
  </si>
  <si>
    <t>Nadčasy spolu</t>
  </si>
  <si>
    <t>Nežiadajte o dovolenku, ak nie je kladný zostatok</t>
  </si>
  <si>
    <t>Sviatky, dni pracovného pokoja.</t>
  </si>
  <si>
    <t>Pracovná stránka</t>
  </si>
  <si>
    <t>Neprofesionálne</t>
  </si>
  <si>
    <t>hodiny</t>
  </si>
  <si>
    <t>Skontrolujte, či má klient GPA</t>
  </si>
  <si>
    <t>Oprávnenia nadriadených v systéme V2</t>
  </si>
  <si>
    <t>Skutočná dovolenka</t>
  </si>
  <si>
    <t>Zobrazuje oprávnenia na funkcie Zamestnanec a Kalendár nadriadených vo V2 na zamestnancoch</t>
  </si>
  <si>
    <t>Účinné oprávnenia na konkrétne funkcie</t>
  </si>
  <si>
    <t>Zistite, či sa vykonávajú nejaké plánované správy</t>
  </si>
  <si>
    <t>Počiatočná hodnota dovolenky</t>
  </si>
  <si>
    <t>RES_database_one.accessperiods.24htotal.name.rotext=24 h Total</t>
  </si>
  <si>
    <t>La chasse au trésor pendant les vacances</t>
  </si>
  <si>
    <t>Congé de maladie accident du travail</t>
  </si>
  <si>
    <t>Congé de maladie maladie ordinaire/action non professionnelle</t>
  </si>
  <si>
    <t>Visite chez le médecin</t>
  </si>
  <si>
    <t>Le temps pendant lequel le travail est effectué principalement au domicile du travailleur ou à un endroit librement choisi par le travailleur, au lieu d'être effectué en personne sur le lieu de travail de l'entreprise.</t>
  </si>
  <si>
    <t>Télétravail</t>
  </si>
  <si>
    <t>Il s'agit de moments qui ne sont pas autorisés par l'entreprise ou qui ne veulent pas être traités de manière positive ou négative.</t>
  </si>
  <si>
    <t>Temps excédentaire non excusé</t>
  </si>
  <si>
    <t>Temps de récupération</t>
  </si>
  <si>
    <t>Les heures positives qui sont effectuées pour compenser les heures négatives qui peuvent être effectuées.</t>
  </si>
  <si>
    <t>Temps récupéré</t>
  </si>
  <si>
    <t>Durée théorique</t>
  </si>
  <si>
    <t>Heures travaillées dans le cadre de l'horaire prévu de l'utilisateur</t>
  </si>
  <si>
    <t>Heures+/-</t>
  </si>
  <si>
    <t>Temps planifié (théorie)</t>
  </si>
  <si>
    <t>Temps d'absence</t>
  </si>
  <si>
    <t>Absentéisme total</t>
  </si>
  <si>
    <t>Total des heures supplémentaires</t>
  </si>
  <si>
    <t>Heures supplémentaires.</t>
  </si>
  <si>
    <t>Ne pas demander de congés s'il n'y a pas de solde positif</t>
  </si>
  <si>
    <t>Jours fériés, jours chômés.</t>
  </si>
  <si>
    <t>Fonctionnement</t>
  </si>
  <si>
    <t>Non professionnel</t>
  </si>
  <si>
    <t>Vérifier si le client a l'AMP</t>
  </si>
  <si>
    <t>Mustra les permissions des superviseurs dans V2</t>
  </si>
  <si>
    <t>Congé effectif</t>
  </si>
  <si>
    <t>Affiche les permissions sur les fonctionnalités de l'employé et du calendrier des superviseurs dans la V2 sur les employés</t>
  </si>
  <si>
    <t>Permissions effectives sur des fonctionnalités spécifiques</t>
  </si>
  <si>
    <t>Savoir si des rapports planifiés sont en cours d'exécution</t>
  </si>
  <si>
    <t>Valeur initiale des vacances</t>
  </si>
  <si>
    <t>RES_database_one.shifts.festivo.name.rotext=Festivo</t>
  </si>
  <si>
    <t>Congedo di malattia per infortunio sul lavoro</t>
  </si>
  <si>
    <t>Congedo per malattia comune/azione non professionale</t>
  </si>
  <si>
    <t>Visita medica</t>
  </si>
  <si>
    <t>Il tempo durante il quale il lavoro viene svolto prevalentemente al domicilio del lavoratore o in un luogo da lui liberamente scelto, in alternativa allo svolgimento di persona sul luogo di lavoro dell'azienda.</t>
  </si>
  <si>
    <t>Telelavoro</t>
  </si>
  <si>
    <t>Si tratta di momenti non autorizzati dall'azienda o che non vogliono essere trattati né positivamente né negativamente.</t>
  </si>
  <si>
    <t>Tempo in eccesso non giustificato</t>
  </si>
  <si>
    <t>Tempo di recupero</t>
  </si>
  <si>
    <t>Ore positive che vengono effettuate per compensare le ore negative che possono essere effettuate.</t>
  </si>
  <si>
    <t>Tempo recuperato</t>
  </si>
  <si>
    <t>Tempo teorico</t>
  </si>
  <si>
    <t>Ore lavorate nell'ambito dell'orario programmato dall'utente</t>
  </si>
  <si>
    <t>Ore+/-</t>
  </si>
  <si>
    <t>Tempo pianificato (teoria)</t>
  </si>
  <si>
    <t>Tempo libero</t>
  </si>
  <si>
    <t>Assenteismo totale</t>
  </si>
  <si>
    <t>Totale ore aggiuntive</t>
  </si>
  <si>
    <t>Straordinari.</t>
  </si>
  <si>
    <t>Totale ore di lavoro straordinario</t>
  </si>
  <si>
    <t>Non chiedete ferie se non c'è un saldo attivo</t>
  </si>
  <si>
    <t>Ferie, giorni non lavorativi.</t>
  </si>
  <si>
    <t>Lavorando</t>
  </si>
  <si>
    <t>Non professionale</t>
  </si>
  <si>
    <t>ore</t>
  </si>
  <si>
    <t>Controllare se il cliente ha l'AAP</t>
  </si>
  <si>
    <t>Mustra le autorizzazioni dei supervisori in V2</t>
  </si>
  <si>
    <t>Congedo effettivo</t>
  </si>
  <si>
    <t>Visualizza le autorizzazioni per i dipendenti e le funzionalità del calendario dei supervisori in V2 sui dipendenti</t>
  </si>
  <si>
    <t>Autorizzazioni efficaci su funzionalità specifiche</t>
  </si>
  <si>
    <t>Sapere se sono in corso di esecuzione rapporti pianificati</t>
  </si>
  <si>
    <t>Post</t>
  </si>
  <si>
    <t>Valore iniziale della vacanza</t>
  </si>
  <si>
    <t>RES_database_one.causes.medico.name.rotext=Médico</t>
  </si>
  <si>
    <t>RES_database_one.concepts.horas.name.rotext=Horas+/-</t>
  </si>
  <si>
    <t>RES_database_one.sysrouserfields.categoriaprofesional.category.rotext=Laboral</t>
  </si>
  <si>
    <t>RES_database_one.sysrouserfields.codigopostal.fieldname.rotext=Código Postal</t>
  </si>
  <si>
    <t>RES_database_one.sysrouserfields.complementossalarialesanuales.category.rotext=Laboral</t>
  </si>
  <si>
    <t>RES_database_one.sysrouserfields.genero.category.rotext=Laboral</t>
  </si>
  <si>
    <t>RES_database_one.sysrouserfields.genero.fieldname.rotext=Género</t>
  </si>
  <si>
    <t>RES_database_one.sysrouserfields.grupodecotizacion.category.rotext=Laboral</t>
  </si>
  <si>
    <t>RES_database_one.sysrouserfields.observaciones.category.rotext=Laboral</t>
  </si>
  <si>
    <t>RES_database_one.sysrouserfields.percepcionesextrasalariales.category.rotext=Laboral</t>
  </si>
  <si>
    <t>RES_database_one.sysrouserfields.percepcionesporextraordinariasycomplementarias.category.rotext=Laboral</t>
  </si>
  <si>
    <t>RES_database_one.sysrouserfields.puesto.category.rotext=Laboral</t>
  </si>
  <si>
    <t>RES_database_one.sysrouserfields.salariobaseanual.category.rotext=Laboral</t>
  </si>
  <si>
    <t>RES_database_one.sysrouserfields.salariototalanual.category.rotext=Laboral</t>
  </si>
  <si>
    <t>RES_database_one.sysrouserfields.tipodecontrato.category.rotext=Laboral</t>
  </si>
  <si>
    <t>RES_database_one.sysrouserfields.tipodecontrato.fieldname.rotext=Tipo de contrato</t>
  </si>
  <si>
    <t>RES_database_one.sysrouserfields.valorinicialdevacaciones.category.rotext=Laboral</t>
  </si>
  <si>
    <t>RES_database_one.zones.ausentes.name.rotext=Ausentes</t>
  </si>
  <si>
    <t>RES_database_one.zones.presentes.name.rotext=Presentes</t>
  </si>
  <si>
    <t>Baixa por acidente de trabalho</t>
  </si>
  <si>
    <t>Licença por doença doença comum/ação não profissional</t>
  </si>
  <si>
    <t>Aquelas que excedem as horas regulares da jornada de trabalho, mas cuja prestação foi acordada e convencionada num contrato a tempo parcial. Podem ser de 2 tipos: -Horas acordadas: Contratos a tempo parcial com uma jornada de trabalho não inferior a dez horas semanais numa base anual. Horas voluntárias: contratos a tempo parcial de duração indeterminada com uma jornada de trabalho não inferior a 10 horas semanais numa base anual.</t>
  </si>
  <si>
    <t>Horas de trabalho efetuadas para além da duração máxima da jornada regular de trabalho estabelecida por lei ou por acordo. No máximo, podem ser efetuadas 80 horas deste tipo por ano.</t>
  </si>
  <si>
    <t>Visita do médico</t>
  </si>
  <si>
    <t xml:space="preserve">Trata-se de uma licença que pode ser tirada por qualquer motivo, exceto se o acordo aplicável especificar o contrário e se existir um acordo entre a entidade patronal e o trabalhador. Suspende a obrigação de trabalhar e de pagar o salário correspondente ao tempo em que o trabalhador esteve ausente. Não estão regulados por lei (exceto nalguns acordos). As condições de utilização e de gozo destas licenças são reguladas por acordos entre a entidade patronal e o trabalhador. </t>
  </si>
  <si>
    <t xml:space="preserve">Licenças legais não remuneradas </t>
  </si>
  <si>
    <t>A licença remunerada é um tipo de ausência durante a qual o trabalhador continua a ser remunerado. As licenças remuneradas estão regulamentadas no artigo 37.º do Estatuto dos Trabalhadores e nos acordos colectivos.</t>
  </si>
  <si>
    <t>Licenças legais remuneradas</t>
  </si>
  <si>
    <t>O tempo durante o qual o trabalho é efectuado principalmente no domicílio do trabalhador ou num local escolhido livremente pelo trabalhador, em alternativa ao trabalho presencial no local de trabalho da empresa.</t>
  </si>
  <si>
    <t>Teletrabalho</t>
  </si>
  <si>
    <t>São momentos que não são autorizados pela empresa ou que não querem ser tratados positiva ou negativamente.</t>
  </si>
  <si>
    <t>Excesso de tempo não justificado</t>
  </si>
  <si>
    <t>O tempo planeado que não foi trabalhado e deve ser compensado noutra altura.</t>
  </si>
  <si>
    <t>Tempo para recuperar</t>
  </si>
  <si>
    <t>Horas positivas que são efectuadas para compensar as horas negativas que podem ser feitas.</t>
  </si>
  <si>
    <t>Tempo recuperado</t>
  </si>
  <si>
    <t>As horas que foram planeadas para o trabalhador e que devem ser realizadas por ele. Justificação interna do VisualTime, que não deve ser apagada ou modificada.</t>
  </si>
  <si>
    <t>Tempo teórico</t>
  </si>
  <si>
    <t>Horas trabalhadas dentro do horário planeado pelo utilizador</t>
  </si>
  <si>
    <t>Ausência devido a férias anuais remuneradas. Não é substituível por uma compensação financeira; será o que está acordado no Acordo ou no contrato individual. Em conformidade com este acordo, o mínimo legal é de 30 dias consecutivos por ano.</t>
  </si>
  <si>
    <t>Ausência injustificada que gera um alerta. O objetivo é que não haja tempo justificado com este motivo. Justificação interna do VisualTime, que não deve ser apagada nem modificada.</t>
  </si>
  <si>
    <t xml:space="preserve">Este saldo subtrai todas as “horas a recuperar” e adiciona todas as “horas recuperadas”. Se o total deste saldo for negativo, o trabalhador deve horas à empresa.  Se o total deste saldo for positivo, a empresa deve horas ao trabalhador. </t>
  </si>
  <si>
    <t>Horas+/-</t>
  </si>
  <si>
    <t>Tempo planeado, este é o tempo que tenho de cumprir de acordo com o horário.</t>
  </si>
  <si>
    <t>Tempo planeado (teoria)</t>
  </si>
  <si>
    <t>Tempo livre</t>
  </si>
  <si>
    <t>Absentismo total</t>
  </si>
  <si>
    <t>Total de horas adicionais</t>
  </si>
  <si>
    <t>Horas extraordinárias.</t>
  </si>
  <si>
    <t>Total de horas extraordinárias</t>
  </si>
  <si>
    <t>Este saldo indica as férias pendentes de gozo.   Saldo inicial de férias - férias gozadas = férias por gozar</t>
  </si>
  <si>
    <t>Férias por gozar</t>
  </si>
  <si>
    <t>Não pedir férias se não houver saldo positivo</t>
  </si>
  <si>
    <t>Feriados, dias não úteis.</t>
  </si>
  <si>
    <t>Dia útil</t>
  </si>
  <si>
    <t xml:space="preserve">Este horário tem 0 horas previstas. Deve ser planeado apenas nos dias em que o trabalhador tem um dia inteiro de folga e, por isso, não vai efetuar nenhuma picagem.  </t>
  </si>
  <si>
    <t>Não profissional</t>
  </si>
  <si>
    <t>Férias em dias úteis.</t>
  </si>
  <si>
    <t>horas</t>
  </si>
  <si>
    <t>Certificar-nos de quanto resta do recálculo efetuado pelo VisualTime e quantos trabalhadores são afetados.</t>
  </si>
  <si>
    <t>Verificar o grupo a que pertencem os trabalhadores. Percurso curto e completo</t>
  </si>
  <si>
    <t>Verificar se o cliente tem GPA</t>
  </si>
  <si>
    <t>Verificar se o recálculo após as alterações efetuadas no VisualTime está a funcionar corretamente.</t>
  </si>
  <si>
    <t>Deve as permissões dos supervisores em V2</t>
  </si>
  <si>
    <t>Férias efectivas</t>
  </si>
  <si>
    <t>Apresenta as permissões para as funcionalidades Empregado e Calendário dos supervisores no V2 sobre os empregados</t>
  </si>
  <si>
    <t>Permissões efectivas para funcionalidades específicas</t>
  </si>
  <si>
    <t>Saber se o ficheiro de correlação está corretamente introduzido na base de dados</t>
  </si>
  <si>
    <t>Saber se estão a ser executados relatórios planeados</t>
  </si>
  <si>
    <t>Ver as picagens que tiveram lugar numa data específica (poder escolher data).</t>
  </si>
  <si>
    <t>Visualizar as tarefas pendentes suspensas dos terminais após a transmissão</t>
  </si>
  <si>
    <t>Relatório de saldos</t>
  </si>
  <si>
    <t>Relatório de férias pendentes</t>
  </si>
  <si>
    <t>Assistentes administrativos~Assistentes não Graduados~Engenheiros Técnicos, Peritos e Assistentes Graduados~Engenheiros e LiceColaboradoresados~Gestores administrativos e de oficina~Colaboradors administrativos~Colaboradors de primeira e segColaboradoresa~Colaboradors de terceira e Especialistas~Peões~Subalternos~Trabalhadores com menos de 18 anos</t>
  </si>
  <si>
    <t>Homem~Mulher</t>
  </si>
  <si>
    <t>Identificador de importação</t>
  </si>
  <si>
    <t>Motivo da licença</t>
  </si>
  <si>
    <t>Licença voluntária~Falecimento~Despedimento~Cessação do contrato temporário~Incapacidade~Invalidez~Reforma~Por razões acordadas no contrato</t>
  </si>
  <si>
    <t>Localidade</t>
  </si>
  <si>
    <t>Valor inicial de férias</t>
  </si>
  <si>
    <t>Horas noturnas</t>
  </si>
  <si>
    <t>RES_database_one.accessgroups.24horastodoelaño.name.rotext=24 horas todo el año</t>
  </si>
  <si>
    <t>RES_database_one.accrualsrules.arrastrevacaciones.name.rotext=Arrastre vacaciones</t>
  </si>
  <si>
    <t xml:space="preserve">RES_database_one.causes.bajaaccidentelaboral.name.rotext=Baja accidente laboral </t>
  </si>
  <si>
    <t>RES_database_one.causes.bajaenfermedadcomunaccnolaboral.name.rotext=Baja enfermedad común/acc no laboral</t>
  </si>
  <si>
    <t>RES_database_one.causes.horascomplementarias.description.rotext=Aquéllas que superan las horas ordinarias de la jornada laboral pero cuya realización ha sido pactada y acordada en un contrato a tiempo parcial. Pueden ser de 2 tipos: -Horas pactadas: Contratos a tiempo parcial con una jornada de trabajo no inferior a diez horas semanales en cómputo anual. -Horas voluntarias: Contratos a tiempo parcial de duración indefinida con una jornada de trabajo no inferior a 10 horas semanales en cómputo anual.</t>
  </si>
  <si>
    <t xml:space="preserve">RES_database_one.causes.horascomplementarias.name.rotext=Horas complementarias </t>
  </si>
  <si>
    <t>RES_database_one.causes.horasextraordinarias.description.rotext=Horas de trabajo que se realicen sobre la duración máxima de la jornada ordinaria de trabajo fijada, legal o convencionalmente.  Como máximo, se podrán realizar 80h de este tipo al año.</t>
  </si>
  <si>
    <t xml:space="preserve">RES_database_one.causes.horasextraordinarias.name.rotext=Horas extraordinarias </t>
  </si>
  <si>
    <t>RES_database_one.causes.medico.description.rotext=Visita médico</t>
  </si>
  <si>
    <t xml:space="preserve">RES_database_one.causes.permisoslegalesnoretribuidos.description.rotext=Es un permiso que se podría disfrutar por cualquier motivo, salvo que el convenio aplicable especificase otra cosa, existiendo acuerdo empresario-trabajador. En este se suspende la obligación de trabajar y de abonar el salario correspondiente al tiempo que el empleado se haya ausentado. No se encuentran regulados normativamente (salvo en algunos convenios colectivos). Las condiciones de uso y disfrute de estos permisos/licencia se regulan por acuerdos entre empresario y trabajador. </t>
  </si>
  <si>
    <t xml:space="preserve">RES_database_one.causes.permisoslegalesnoretribuidos.name.rotext=Permisos legales no retribuidos </t>
  </si>
  <si>
    <t>RES_database_one.causes.permisoslegalesretribuidos.description.rotext=El permiso retribuido es un tipo de ausencia durante la cual el trabajador seguirá siendo compensado económicamente. Los permisos remunerados están regulados en el artículo 37 del Estatuto de los Trabajadores y en los convenios colectivos.</t>
  </si>
  <si>
    <t>RES_database_one.causes.permisoslegalesretribuidos.name.rotext=Permisos legales retribuidos</t>
  </si>
  <si>
    <t>RES_database_one.causes.teletrabajo.description.rotext=Aquel tiempo en que la prestación de la actividad laboral se realice de manera preponderante en el domicilio del trabajador o en el lugar libremente elegido por este, de modo alternativo a su desarrollo presencial en el centro de trabajo de la empresa.</t>
  </si>
  <si>
    <t>RES_database_one.causes.teletrabajo.name.rotext=Teletrabajo</t>
  </si>
  <si>
    <t>RES_database_one.causes.tiempodeexcesonojustificado.description.rotext=Son tiempos no autorizados por la empresa o que no se quieren dar ningún tratamiento ya sea positivo o negativo.</t>
  </si>
  <si>
    <t>RES_database_one.causes.tiempodeexcesonojustificado.name.rotext=Tiempo de exceso no justificado</t>
  </si>
  <si>
    <t>RES_database_one.causes.tiempoporrecuperar.description.rotext=El tiempo planificado que no se ha trabajado y debe recuperarse en otro momento.</t>
  </si>
  <si>
    <t>RES_database_one.causes.tiempoporrecuperar.name.rotext=Tiempo por recuperar</t>
  </si>
  <si>
    <t>RES_database_one.causes.tiemporecuperado.description.rotext=Horas positivas  que se realizan para compensar horas negativas que puedan realizarse.</t>
  </si>
  <si>
    <t xml:space="preserve">RES_database_one.causes.tiemporecuperado.name.rotext=Tiempo recuperado </t>
  </si>
  <si>
    <t>RES_database_one.causes.tiempoteorico.description.rotext=Las horas que se han planificado al empleado y éste debería realizar. Justificación interna de VisualTime, no se debe borrar ni modificar.</t>
  </si>
  <si>
    <t>RES_database_one.causes.tiempoteorico.name.rotext=Tiempo teórico</t>
  </si>
  <si>
    <t>RES_database_one.causes.trabajoefectivo.description.rotext=Horas trabajadas dentro del horario planificado al usuario</t>
  </si>
  <si>
    <t>RES_database_one.causes.trabajoefectivo.name.rotext=Trabajo efectivo</t>
  </si>
  <si>
    <t>RES_database_one.causes.vacaciones.description.rotext=Ausencia por vacaciones anuales retribuidas. No es sustituible por compensación económica, será el pactado en Convenio Colectivo o contrato individual. Respetando este pacto los mínimos legales de 30 días naturales por año.</t>
  </si>
  <si>
    <t>RES_database_one.causes.vacaciones.name.rotext=Vacaciones</t>
  </si>
  <si>
    <t>RES_database_one.causes.vtnojustificado.description.rotext=Ausencia sin motivo justificado que genera una alerta. El objetivo es que no haya ningún tiempo justificado con este motivo. Justificación interna de VisualTime, no se debe borrar ni modificar.</t>
  </si>
  <si>
    <t>RES_database_one.causes.vtnojustificado.name.rotext=VT. NO JUSTIFICADO</t>
  </si>
  <si>
    <t xml:space="preserve">RES_database_one.concepts.horas.description.rotext=Este saldo restará todas las "horas a recuperar" y sumará todas las "horas recuperadas". Si el total de este saldo es negativo, el empleado debe horas a la empresa.  Si el total de este saldo es positivo, la empresa debe horas al trabajador. </t>
  </si>
  <si>
    <t>RES_database_one.concepts.tiempoplanificadoteoria.description.rotext=Tiempo planificado, es el tiempo que por horarios tengo que realizar</t>
  </si>
  <si>
    <t>RES_database_one.concepts.tiempoplanificadoteoria.name.rotext=Tiempo planificado(teoría)</t>
  </si>
  <si>
    <t xml:space="preserve">RES_database_one.concepts.totalabsentismo.description.rotext=Tiempo de ausencia </t>
  </si>
  <si>
    <t>RES_database_one.concepts.totalabsentismo.name.rotext=Total absentismo</t>
  </si>
  <si>
    <t>RES_database_one.concepts.totalhorascomplementarias.description.rotext=Horas complementarias para contratos a tiempo parcial.</t>
  </si>
  <si>
    <t>RES_database_one.concepts.totalhorascomplementarias.name.rotext=Total horas complementarias</t>
  </si>
  <si>
    <t xml:space="preserve">RES_database_one.concepts.totalhorasextras.description.rotext=Horas extraordinarias. </t>
  </si>
  <si>
    <t xml:space="preserve">RES_database_one.concepts.totalhorasextras.name.rotext=Total horas extras </t>
  </si>
  <si>
    <t>RES_database_one.concepts.trabajoefectivo.description.rotext=Todo el tiempo que se considera trabajo efectivo, sin contar excesos.</t>
  </si>
  <si>
    <t>RES_database_one.concepts.trabajoefectivo.name.rotext=Trabajo efectivo</t>
  </si>
  <si>
    <t>RES_database_one.concepts.vacacionespendientes.description.rotext=Este saldo muestra las vacaciones pendientes de disfrutar.   Saldo inicial de vacaciones - vacaciones disfrutadas = vacaciones pendientes</t>
  </si>
  <si>
    <t>RES_database_one.concepts.vacacionespendientes.name.rotext=Vacaciones pendientes</t>
  </si>
  <si>
    <t>RES_database_one.groups.miempresa.name.rotext=Mi empresa</t>
  </si>
  <si>
    <t>RES_database_one.labagree.reglasgenerales.name.rotext=Reglas generales</t>
  </si>
  <si>
    <t>RES_database_one.requestsrules.nopedirvacacionessinohaysaldopositivo.name.rotext=No pedir vacaciones si no hay saldo positivo</t>
  </si>
  <si>
    <t>RES_database_one.shifts.festivo.description.rotext=Festivos, no laborables.</t>
  </si>
  <si>
    <t>RES_database_one.shifts.laborable.name.rotext=Laborable</t>
  </si>
  <si>
    <t>RES_database_one.shifts.nolaboral.description.rotext=Este horario tiene 0 horas teóricas. Se planificará únicamente los días en los que el empleado disfrute de un día completo de descanso y, por lo tanto, no vaya a realizar ningún fichaje.</t>
  </si>
  <si>
    <t>RES_database_one.shifts.nolaboral.name.rotext=No laboral</t>
  </si>
  <si>
    <t>RES_database_one.shifts.vacaciones.description.rotext=Vacaciones en días laborables.</t>
  </si>
  <si>
    <t>RES_database_one.shifts.vacaciones.name.rotext=Vacaciones</t>
  </si>
  <si>
    <t>RES_database_one.startupvalues.vacaciones.name.rotext=Vacaciones</t>
  </si>
  <si>
    <t>RES_database_one.startupvalues.vacacionesiniciales.name.rotext=Vacaciones iniciales</t>
  </si>
  <si>
    <t>RES_database_one.sysroconcepttypes.horas.name.rotext=Horas</t>
  </si>
  <si>
    <t>RES_database_one.sysroconcepttypes.mixtohorasocurrencias.name.rotext=Mixto (horas+ocurrencias)</t>
  </si>
  <si>
    <t>RES_database_one.sysroconcepttypes.ocurrencias.name.rotext=Ocurrencias</t>
  </si>
  <si>
    <t>RES_database_one.sysroqueries.cerciorarnosdecuantolequedaalrecalculoquerealizavisualtimeyacuantosempleadosafecta.description.rotext=Cerciorarnos de cuánto le queda al recalculo que realiza VisualTime y a cuántos empleados afecta</t>
  </si>
  <si>
    <t>RES_database_one.sysroqueries.cerciorarnosdecuantolequedaalrecalculoquerealizavisualtimeyacuantosempleadosafecta.name.rotext=Cerciorarnos de cuánto le queda al recalculo que realiza VisualTime y a cuántos empleados afecta</t>
  </si>
  <si>
    <t>RES_database_one.sysroqueries.comprobarelgrupoalquepertenecenlosempleadosrutacortaycompleta.description.rotext=Comprobar el grupo al que pertenecen los empleados. Ruta corta y completa</t>
  </si>
  <si>
    <t>RES_database_one.sysroqueries.comprobarelgrupoalquepertenecenlosempleadosrutacortaycompleta.name.rotext=Comprobar el grupo al que pertenecen los empleados. Ruta corta y completa</t>
  </si>
  <si>
    <t>RES_database_one.sysroqueries.comprobarquehayalgunatareaquenohapodidoejecutarseconnormalidad.description.rotext=Comprobar que hay alguna tarea que no ha podido ejecutarse con normalidad</t>
  </si>
  <si>
    <t>RES_database_one.sysroqueries.comprobarquehayalgunatareaquenohapodidoejecutarseconnormalidad.name.rotext=Comprobar que hay alguna tarea que no ha podido ejecutarse con normalidad</t>
  </si>
  <si>
    <t>RES_database_one.sysroqueries.comprobarsiclientetienegpa.description.rotext=Comprobar si cliente tiene GPA</t>
  </si>
  <si>
    <t>RES_database_one.sysroqueries.comprobarsiclientetienegpa.name.rotext=Comprobar si cliente tiene GPA</t>
  </si>
  <si>
    <t>RES_database_one.sysroqueries.comprobarsielrecalculotrasloscambiosrealizadosenvisualtimeestafuncionandocorrectamente.description.rotext=Comprobar si el recálculo tras los cambios realizados en VisualTime está funcionando correctamente</t>
  </si>
  <si>
    <t>RES_database_one.sysroqueries.comprobarsielrecalculotrasloscambiosrealizadosenvisualtimeestafuncionandocorrectamente.name.rotext=Comprobar si el recálculo tras los cambios realizados en VisualTime está funcionando correctamente</t>
  </si>
  <si>
    <t>RES_database_one.sysroqueries.permisosefectivos.description.rotext=Mustra los permisos de los supervisores en V2</t>
  </si>
  <si>
    <t>RES_database_one.sysroqueries.permisosefectivos.name.rotext=Permisos efectivos</t>
  </si>
  <si>
    <t>RES_database_one.sysroqueries.permisosefectivossobrefuncionalidadesconcretas.description.rotext=Muestra los permisos sobre las funcionalidades de Empleados y Calendario de los supervisores en V2 sobre empleados</t>
  </si>
  <si>
    <t>RES_database_one.sysroqueries.permisosefectivossobrefuncionalidadesconcretas.name.rotext=Permisos efectivos sobre funcionalidades concretas</t>
  </si>
  <si>
    <t>RES_database_one.sysroqueries.sabersielficherodecorrelacionestacorrectamenteintroducidoenbasededatos.description.rotext=Saber si el fichero de correlación está correctamente introducido en base de datos</t>
  </si>
  <si>
    <t>RES_database_one.sysroqueries.sabersielficherodecorrelacionestacorrectamenteintroducidoenbasededatos.name.rotext=Saber si el fichero de correlación está correctamente introducido en base de datos</t>
  </si>
  <si>
    <t>RES_database_one.sysroqueries.sabersihayalguninformeplanificadoejecutandose.description.rotext=Saber si hay algún informe planificado ejecutándose</t>
  </si>
  <si>
    <t>RES_database_one.sysroqueries.sabersihayalguninformeplanificadoejecutandose.name.rotext=Saber si hay algún informe planificado ejecutándose</t>
  </si>
  <si>
    <t>RES_database_one.sysroqueries.verlosfichajesquehahabidoenunafechaenconcretopoderescogerfecha.description.rotext=Ver los fichajes que ha habido en una fecha en concreto (poder escoger fecha)</t>
  </si>
  <si>
    <t>RES_database_one.sysroqueries.verlosfichajesquehahabidoenunafechaenconcretopoderescogerfecha.name.rotext=Ver los fichajes que ha habido en una fecha en concreto (poder escoger fecha)</t>
  </si>
  <si>
    <t>RES_database_one.sysroqueries.visualizartareaspendientescolgadasdelosterminalestrasrealizarbroadcast.description.rotext=Visualizar tareas pendientes colgadas de los terminales tras realizar broadcast</t>
  </si>
  <si>
    <t>RES_database_one.sysroqueries.visualizartareaspendientescolgadasdelosterminalestrasrealizarbroadcast.name.rotext=Visualizar tareas pendientes colgadas de los terminales tras realizar broadcast</t>
  </si>
  <si>
    <t>RES_database_one.sysroreportgroups.informedesaldos.name.rotext=Informe de saldos</t>
  </si>
  <si>
    <t>RES_database_one.sysroreportgroups.informedevacacionespendientes.name.rotext=Informe de vacaciones pendientes</t>
  </si>
  <si>
    <t>RES_database_one.sysrouserfields.categoriaprofesional.fieldname.rotext=Categoría profesional</t>
  </si>
  <si>
    <t>RES_database_one.sysrouserfields.categoriaprofesional.listvalues.rotext=Auxiliares Administrativos~Ayudantes no Titulados~Ingenieros Técnicos, Peritos y Ayudantes Titulados~Ingenieros y Licenciados~Jefes Administrativos y de Taller~Oficiales Administrativos~Oficiales de primera y segunda~Oficiales de tercera y Especialistas~Peones~Subalternos~Trabajadores menores de 18 años</t>
  </si>
  <si>
    <t>RES_database_one.sysrouserfields.complementossalarialesanuales.fieldname.rotext=Complementos salariales anuales</t>
  </si>
  <si>
    <t>RES_database_one.sysrouserfields.correoelectronico.fieldname.rotext=Correo electrónico</t>
  </si>
  <si>
    <t>RES_database_one.sysrouserfields.costehr.fieldname.rotext=Coste HR</t>
  </si>
  <si>
    <t>RES_database_one.sysrouserfields.costeporhora.fieldname.rotext=Coste por hora</t>
  </si>
  <si>
    <t>RES_database_one.sysrouserfields.fechadenacimiento.category.rotext=Personal</t>
  </si>
  <si>
    <t>RES_database_one.sysrouserfields.fechadenacimiento.fieldname.rotext=Fecha de nacimiento</t>
  </si>
  <si>
    <t>RES_database_one.sysrouserfields.genero.listvalues.rotext=Hombre~Mujer</t>
  </si>
  <si>
    <t>RES_database_one.sysrouserfields.grupodecotizacion.fieldname.rotext=Grupo de cotización</t>
  </si>
  <si>
    <t>RES_database_one.sysrouserfields.idimportacion.fieldname.rotext=Id importación</t>
  </si>
  <si>
    <t>RES_database_one.sysrouserfields.motivodebaja.fieldname.rotext=Motivo de baja</t>
  </si>
  <si>
    <t>RES_database_one.sysrouserfields.motivodebaja.listvalues.rotext=Baja voluntaria~Defunción~Despido~Finalización del contrato temporal~Incapacidad~Invalidez~Jubilación~Por causas convenidas en el contrato</t>
  </si>
  <si>
    <t>RES_database_one.sysrouserfields.movil.fieldname.rotext=Móvil</t>
  </si>
  <si>
    <t>RES_database_one.sysrouserfields.nacionalidad.category.rotext=Personal</t>
  </si>
  <si>
    <t>RES_database_one.sysrouserfields.nacionalidad.fieldname.rotext=Nacionalidad</t>
  </si>
  <si>
    <t>RES_database_one.sysrouserfields.nif.category.rotext=Personal</t>
  </si>
  <si>
    <t>RES_database_one.sysrouserfields.numerodeemergencia.fieldname.rotext=Número de emergencia</t>
  </si>
  <si>
    <t>RES_database_one.sysrouserfields.observaciones.fieldname.rotext=Observaciones</t>
  </si>
  <si>
    <t>RES_database_one.sysrouserfields.percepcionesextrasalariales.fieldname.rotext=Percepciones extrasalariales</t>
  </si>
  <si>
    <t>RES_database_one.sysrouserfields.percepcionesporextraordinariasycomplementarias.fieldname.rotext=Percepciones por extraordinarias y complementarias</t>
  </si>
  <si>
    <t>RES_database_one.sysrouserfields.poblacion.fieldname.rotext=Población</t>
  </si>
  <si>
    <t>RES_database_one.sysrouserfields.precioporhora.fieldname.rotext=Precio por hora</t>
  </si>
  <si>
    <t>RES_database_one.sysrouserfields.puesto.fieldname.rotext=Puesto</t>
  </si>
  <si>
    <t>RES_database_one.sysrouserfields.puntodereunion.fieldname.rotext=Punto de reunión</t>
  </si>
  <si>
    <t>RES_database_one.sysrouserfields.salariobaseanual.fieldname.rotext=Salario base anual</t>
  </si>
  <si>
    <t>RES_database_one.sysrouserfields.salariototalanual.fieldname.rotext=Salario total anual</t>
  </si>
  <si>
    <t>RES_database_one.sysrouserfields.telefono.fieldname.rotext=Teléfono</t>
  </si>
  <si>
    <t>RES_database_one.sysrouserfields.tipodecontrato.listvalues.rotext=En prácticas~Indefinido~Temporal</t>
  </si>
  <si>
    <t xml:space="preserve">RES_database_one.sysrouserfields.valorinicialdevacaciones.fieldname.rotext=Valor inicial de vacaciones </t>
  </si>
  <si>
    <t>RES_database_one.timezones.horasconremuneracionespecial.name.rotext=Horas con remuneración especial</t>
  </si>
  <si>
    <t>RES_database_one.timezones.horasnocturnas.name.rotext=Horas nocturnas</t>
  </si>
  <si>
    <t>RES_database_one.timezones.horasnormales.name.rotext=Horas normales</t>
  </si>
  <si>
    <t>Arrastre vacaciones</t>
  </si>
  <si>
    <t xml:space="preserve">Baja accidente laboral </t>
  </si>
  <si>
    <t>Baja enfermedad común/acc no laboral</t>
  </si>
  <si>
    <t>Visita médico</t>
  </si>
  <si>
    <t>Aquel tiempo en que la prestación de la actividad laboral se realice de manera preponderante en el domicilio del trabajador o en el lugar libremente elegido por este, de modo alternativo a su desarrollo presencial en el centro de trabajo de la empresa.</t>
  </si>
  <si>
    <t>Teletrabajo</t>
  </si>
  <si>
    <t>Son tiempos no autorizados por la empresa o que no se quieren dar ningún tratamiento ya sea positivo o negativo.</t>
  </si>
  <si>
    <t>Tiempo de exceso no justificado</t>
  </si>
  <si>
    <t>Tiempo por recuperar</t>
  </si>
  <si>
    <t>Horas positivas  que se realizan para compensar horas negativas que puedan realizarse.</t>
  </si>
  <si>
    <t xml:space="preserve">Tiempo recuperado </t>
  </si>
  <si>
    <t>Tiempo teórico</t>
  </si>
  <si>
    <t>Horas trabajadas dentro del horario planificado al usuario</t>
  </si>
  <si>
    <t>Tiempo planificado(teoría)</t>
  </si>
  <si>
    <t xml:space="preserve">Tiempo de ausencia </t>
  </si>
  <si>
    <t>Total absentismo</t>
  </si>
  <si>
    <t>Total horas complementarias</t>
  </si>
  <si>
    <t xml:space="preserve">Horas extraordinarias. </t>
  </si>
  <si>
    <t xml:space="preserve">Total horas extras </t>
  </si>
  <si>
    <t>No pedir vacaciones si no hay saldo positivo</t>
  </si>
  <si>
    <t>Festivos, no laborables.</t>
  </si>
  <si>
    <t>Laborable</t>
  </si>
  <si>
    <t>Este horario tiene 0 horas teóricas. Se planificará únicamente los días en los que el empleado disfrute de un día completo de descanso y, por lo tanto, no vaya a realizar ningún fichaje.</t>
  </si>
  <si>
    <t>No laboral</t>
  </si>
  <si>
    <t>Vacaciones en días laborables.</t>
  </si>
  <si>
    <t>Comprobar si cliente tiene GPA</t>
  </si>
  <si>
    <t>Mustra los permisos de los supervisores en V2</t>
  </si>
  <si>
    <t>Permisos efectivos</t>
  </si>
  <si>
    <t>Muestra los permisos sobre las funcionalidades de Empleados y Calendario de los supervisores en V2 sobre empleados</t>
  </si>
  <si>
    <t>Permisos efectivos sobre funcionalidades concretas</t>
  </si>
  <si>
    <t>Saber si hay algún informe planificado ejecutándose</t>
  </si>
  <si>
    <t xml:space="preserve">Valor inicial de vacaciones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</si>
</sst>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0"/>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1" tint="0.34998626667073579"/>
        <bgColor theme="9"/>
      </patternFill>
    </fill>
    <fill>
      <patternFill patternType="solid">
        <fgColor theme="1" tint="0.34998626667073579"/>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theme="9" tint="-0.249977111117893"/>
        <bgColor theme="9"/>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xf numFmtId="0" fontId="2" fillId="3" borderId="1" xfId="0" applyFont="1" applyFill="1" applyBorder="1"/>
    <xf numFmtId="0" fontId="0" fillId="4" borderId="0" xfId="0" applyFill="1"/>
    <xf numFmtId="0" fontId="0" fillId="5" borderId="0" xfId="0" applyFill="1" applyAlignment="1">
      <alignment wrapText="1"/>
    </xf>
    <xf numFmtId="0" fontId="0" fillId="6" borderId="0" xfId="0" applyFill="1" applyAlignment="1">
      <alignment wrapText="1"/>
    </xf>
    <xf numFmtId="0" fontId="2" fillId="7" borderId="2" xfId="0" applyFont="1" applyFill="1" applyBorder="1" applyAlignment="1">
      <alignment wrapText="1"/>
    </xf>
  </cellXfs>
  <cellStyles count="1">
    <cellStyle name="Normal" xfId="0" builtinId="0"/>
  </cellStyles>
  <dxfs count="13">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fill>
        <patternFill patternType="solid">
          <fgColor indexed="64"/>
          <bgColor theme="0" tint="-4.9989318521683403E-2"/>
        </patternFill>
      </fill>
    </dxf>
    <dxf>
      <numFmt numFmtId="0" formatCode="General"/>
      <fill>
        <patternFill>
          <bgColor theme="6"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66B600-11E0-429C-BCBC-A08F5C597699}" name="Database_ESP" displayName="Database_ESP" ref="B1:N147" totalsRowShown="0">
  <autoFilter ref="B1:N147" xr:uid="{9566B600-11E0-429C-BCBC-A08F5C597699}"/>
  <tableColumns count="13">
    <tableColumn id="1" xr3:uid="{013C8F9B-78EA-4A7E-AAE8-109160B65F7F}" name="Column1" dataDxfId="12">
      <calculatedColumnFormula>LEFT(A2,SEARCH("=",A2)-1)</calculatedColumnFormula>
    </tableColumn>
    <tableColumn id="7" xr3:uid="{47D6AA05-5324-4DED-9F1A-DADDE0E1E47E}" name="Table" dataDxfId="11">
      <calculatedColumnFormula>MID(B2, FIND(".", B2) + 1, FIND(".", B2, FIND(".", B2) + 1) - FIND(".", B2) - 1)</calculatedColumnFormula>
    </tableColumn>
    <tableColumn id="6" xr3:uid="{0863FB12-E0FE-4D40-81EF-25C0ECDA6AD7}" name="Tag" dataDxfId="10">
      <calculatedColumnFormula>MID(B2, FIND(".", B2, FIND(".", B2) + 1) + 1, FIND(".", B2, FIND(".", B2, FIND(".", B2) + 1) + 1) - FIND(".", B2, FIND(".", B2) + 1) - 1)</calculatedColumnFormula>
    </tableColumn>
    <tableColumn id="8" xr3:uid="{9756B74B-1D46-4CAA-AEC1-61E2FF476EFA}" name="Column" dataDxfId="9">
      <calculatedColumnFormula>MID(B2, FIND(".", B2, FIND(".", B2, FIND(".", B2) + 1) + 1) + 1, FIND(".", B2, FIND(".", B2, FIND(".", B2, FIND(".", B2) + 1) + 1) + 1) - FIND(".", B2, FIND(".", B2, FIND(".", B2) + 1) + 1) - 1)</calculatedColumnFormula>
    </tableColumn>
    <tableColumn id="10" xr3:uid="{2F276F8C-BED6-4E94-A7D3-DA9C445B3D79}" name="Origen" dataDxfId="3">
      <calculatedColumnFormula>RIGHT(A2,LEN(A2) - SEARCH("=", A2))</calculatedColumnFormula>
    </tableColumn>
    <tableColumn id="2" xr3:uid="{4531AC52-7AE2-4101-B232-1E7F207DE576}" name="ESP" dataDxfId="8"/>
    <tableColumn id="3" xr3:uid="{D6AFDF06-544F-4B1A-B612-96A4D112A020}" name="POR.XAVI.INICIAL" dataDxfId="0"/>
    <tableColumn id="13" xr3:uid="{733E3304-05B8-4A2C-826C-EDA9FA4935E9}" name="POR" dataDxfId="7"/>
    <tableColumn id="4" xr3:uid="{4BB07146-5FD3-451D-AD94-6DA6E20F2932}" name="ENG" dataDxfId="2"/>
    <tableColumn id="12" xr3:uid="{B392E4D2-7D70-461C-B713-C0A5278EE9AB}" name="FR" dataDxfId="1"/>
    <tableColumn id="11" xr3:uid="{67B76DD2-71FC-48F2-92C8-BD505FC782B0}" name="IT" dataDxfId="6"/>
    <tableColumn id="5" xr3:uid="{E4149177-8D36-4118-AEE7-37DCAB66223E}" name="SK" dataDxfId="5"/>
    <tableColumn id="9" xr3:uid="{D587CBA3-C718-4807-8ADC-C770ACC3DC45}" name="SQL POR" dataDxfId="4">
      <calculatedColumnFormula>CONCATENATE("UPDATE ",Database_ESP[[#This Row],[Table]]," SET ",Database_ESP[[#This Row],[Column]]," = '",Database_ESP[[#This Row],[POR.XAVI.INICIAL]],"' WHERE LanguageTag = '",Database_ESP[[#This Row],[Tag]],"'")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75D0-372F-4874-A75A-2C386AF3A006}">
  <dimension ref="A1:S147"/>
  <sheetViews>
    <sheetView tabSelected="1" zoomScale="85" zoomScaleNormal="85" workbookViewId="0">
      <pane ySplit="1" topLeftCell="A2" activePane="bottomLeft" state="frozen"/>
      <selection pane="bottomLeft" activeCell="A5" sqref="A5"/>
    </sheetView>
  </sheetViews>
  <sheetFormatPr defaultColWidth="11.42578125" defaultRowHeight="15" x14ac:dyDescent="0.25"/>
  <cols>
    <col min="1" max="1" width="83.5703125" style="2" customWidth="1"/>
    <col min="2" max="2" width="71.7109375" style="2" hidden="1" customWidth="1"/>
    <col min="3" max="3" width="17.42578125" style="2" hidden="1" customWidth="1"/>
    <col min="4" max="4" width="30.140625" style="2" hidden="1" customWidth="1"/>
    <col min="5" max="5" width="14" style="2" hidden="1" customWidth="1"/>
    <col min="6" max="6" width="49.5703125" style="2" customWidth="1"/>
    <col min="7" max="7" width="75.42578125" style="1" customWidth="1"/>
    <col min="8" max="8" width="0.140625" style="1" customWidth="1"/>
    <col min="9" max="9" width="85.140625" style="1" customWidth="1"/>
    <col min="10" max="13" width="66.42578125" style="1" customWidth="1"/>
    <col min="14" max="14" width="92.85546875" style="5" customWidth="1"/>
    <col min="15" max="15" width="88" style="5" customWidth="1"/>
    <col min="16" max="19" width="78.5703125" style="5" customWidth="1"/>
  </cols>
  <sheetData>
    <row r="1" spans="1:19" ht="45" x14ac:dyDescent="0.25">
      <c r="A1" s="3" t="s">
        <v>111</v>
      </c>
      <c r="B1" s="4" t="s">
        <v>0</v>
      </c>
      <c r="C1" s="4" t="s">
        <v>34</v>
      </c>
      <c r="D1" s="4" t="s">
        <v>36</v>
      </c>
      <c r="E1" s="4" t="s">
        <v>35</v>
      </c>
      <c r="F1" s="4" t="s">
        <v>41</v>
      </c>
      <c r="G1" s="1" t="s">
        <v>32</v>
      </c>
      <c r="H1" s="1" t="s">
        <v>498</v>
      </c>
      <c r="I1" s="1" t="s">
        <v>33</v>
      </c>
      <c r="J1" s="1" t="s">
        <v>214</v>
      </c>
      <c r="K1" s="1" t="s">
        <v>247</v>
      </c>
      <c r="L1" s="1" t="s">
        <v>248</v>
      </c>
      <c r="M1" s="1" t="s">
        <v>249</v>
      </c>
      <c r="N1" s="6" t="s">
        <v>112</v>
      </c>
      <c r="O1" s="7" t="s">
        <v>115</v>
      </c>
      <c r="P1" s="7" t="s">
        <v>246</v>
      </c>
      <c r="Q1" s="7" t="s">
        <v>499</v>
      </c>
      <c r="R1" s="7" t="s">
        <v>500</v>
      </c>
      <c r="S1" s="7" t="s">
        <v>501</v>
      </c>
    </row>
    <row r="2" spans="1:19" ht="75" x14ac:dyDescent="0.25">
      <c r="A2" s="2" t="s">
        <v>771</v>
      </c>
      <c r="B2" s="2" t="str">
        <f>LEFT(A2,SEARCH("=",A2)-1)</f>
        <v>RES_database_one.accessgroups.24horastodoelaño.name.rotext</v>
      </c>
      <c r="C2" s="2" t="str">
        <f t="shared" ref="C2:C33" si="0">MID(B2, FIND(".", B2) + 1, FIND(".", B2, FIND(".", B2) + 1) - FIND(".", B2) - 1)</f>
        <v>accessgroups</v>
      </c>
      <c r="D2" s="2" t="str">
        <f t="shared" ref="D2:D33" si="1">MID(B2, FIND(".", B2, FIND(".", B2) + 1) + 1, FIND(".", B2, FIND(".", B2, FIND(".", B2) + 1) + 1) - FIND(".", B2, FIND(".", B2) + 1) - 1)</f>
        <v>24horastodoelaño</v>
      </c>
      <c r="E2" s="2" t="str">
        <f t="shared" ref="E2:E33" si="2">MID(B2, FIND(".", B2, FIND(".", B2, FIND(".", B2) + 1) + 1) + 1, FIND(".", B2, FIND(".", B2, FIND(".", B2, FIND(".", B2) + 1) + 1) + 1) - FIND(".", B2, FIND(".", B2, FIND(".", B2) + 1) + 1) - 1)</f>
        <v>name</v>
      </c>
      <c r="F2" s="2" t="str">
        <f t="shared" ref="F2:F33" si="3">RIGHT(A2,LEN(A2) - SEARCH("=", A2))</f>
        <v>24 horas todo el año</v>
      </c>
      <c r="G2" s="1" t="s">
        <v>108</v>
      </c>
      <c r="H2" s="1" t="s">
        <v>30</v>
      </c>
      <c r="I2" s="1" t="s">
        <v>30</v>
      </c>
      <c r="J2" s="1" t="s">
        <v>513</v>
      </c>
      <c r="K2" s="1" t="s">
        <v>250</v>
      </c>
      <c r="L2" s="1" t="s">
        <v>326</v>
      </c>
      <c r="M2" s="1" t="s">
        <v>402</v>
      </c>
      <c r="N2" s="5" t="str">
        <f>CONCATENATE("UPDATE ",Database_ESP[[#This Row],[Table]]," SET ",Database_ESP[[#This Row],[Column]]," = '",Database_ESP[[#This Row],[POR.XAVI.INICIAL]],"' WHERE LanguageTag = '",Database_ESP[[#This Row],[Tag]],"'")</f>
        <v>UPDATE accessgroups SET name = '24 horas durante todo o ano' WHERE LanguageTag = '24horastodoelaño'</v>
      </c>
      <c r="O2" s="5" t="str">
        <f>CONCATENATE("UPDATE ",Database_ESP[[#This Row],[Table]]," SET ",Database_ESP[[#This Row],[Column]]," = '",Database_ESP[[#This Row],[ESP]],"' WHERE LanguageTag = '",Database_ESP[[#This Row],[Tag]],"'")</f>
        <v>UPDATE accessgroups SET name = '24 horas todo el año' WHERE LanguageTag = '24horastodoelaño'</v>
      </c>
      <c r="P2" s="5" t="str">
        <f>CONCATENATE("UPDATE ",Database_ESP[[#This Row],[Table]]," SET ",Database_ESP[[#This Row],[Column]]," = '",Database_ESP[[#This Row],[ENG]],"' WHERE LanguageTag = '",Database_ESP[[#This Row],[Tag]],"'")</f>
        <v>UPDATE accessgroups SET name = '24 hours a year' WHERE LanguageTag = '24horastodoelaño'</v>
      </c>
      <c r="Q2" s="5" t="str">
        <f>CONCATENATE("UPDATE ",Database_ESP[[#This Row],[Table]]," SET ",Database_ESP[[#This Row],[Column]]," = '",Database_ESP[[#This Row],[FR]],"' WHERE LanguageTag = '",Database_ESP[[#This Row],[Tag]],"'")</f>
        <v>UPDATE accessgroups SET name = '24 heures sur 24 toute l'année' WHERE LanguageTag = '24horastodoelaño'</v>
      </c>
      <c r="R2" s="5" t="str">
        <f>CONCATENATE("UPDATE ",Database_ESP[[#This Row],[Table]]," SET ",Database_ESP[[#This Row],[Column]]," = '",Database_ESP[[#This Row],[IT]],"' WHERE LanguageTag = '",Database_ESP[[#This Row],[Tag]],"'")</f>
        <v>UPDATE accessgroups SET name = '24 ore su 24 tutto l'anno' WHERE LanguageTag = '24horastodoelaño'</v>
      </c>
      <c r="S2" s="5" t="str">
        <f>CONCATENATE("UPDATE ",Database_ESP[[#This Row],[Table]]," SET ",Database_ESP[[#This Row],[Column]]," = '",Database_ESP[[#This Row],[SK]],"' WHERE LanguageTag = '",Database_ESP[[#This Row],[Tag]],"'")</f>
        <v>UPDATE accessgroups SET name = '24 hodín po celý rok' WHERE LanguageTag = '24horastodoelaño'</v>
      </c>
    </row>
    <row r="3" spans="1:19" ht="30" x14ac:dyDescent="0.25">
      <c r="A3" s="2" t="s">
        <v>626</v>
      </c>
      <c r="B3" s="2" t="str">
        <f t="shared" ref="B3:B66" si="4">LEFT(A3,SEARCH("=",A3)-1)</f>
        <v>RES_database_one.accessperiods.24htotal.name.rotext</v>
      </c>
      <c r="C3" s="2" t="str">
        <f t="shared" si="0"/>
        <v>accessperiods</v>
      </c>
      <c r="D3" s="2" t="str">
        <f t="shared" si="1"/>
        <v>24htotal</v>
      </c>
      <c r="E3" s="2" t="str">
        <f t="shared" si="2"/>
        <v>name</v>
      </c>
      <c r="F3" s="2" t="str">
        <f t="shared" si="3"/>
        <v>24 h Total</v>
      </c>
      <c r="G3" s="1" t="s">
        <v>8</v>
      </c>
      <c r="H3" s="1" t="s">
        <v>8</v>
      </c>
      <c r="I3" s="1" t="s">
        <v>8</v>
      </c>
      <c r="J3" s="1" t="s">
        <v>514</v>
      </c>
      <c r="K3" s="1" t="s">
        <v>8</v>
      </c>
      <c r="L3" s="1" t="s">
        <v>327</v>
      </c>
      <c r="M3" s="1" t="s">
        <v>403</v>
      </c>
      <c r="N3" s="5" t="str">
        <f>CONCATENATE("UPDATE ",Database_ESP[[#This Row],[Table]]," SET ",Database_ESP[[#This Row],[Column]]," = '",Database_ESP[[#This Row],[POR.XAVI.INICIAL]],"' WHERE LanguageTag = '",Database_ESP[[#This Row],[Tag]],"'")</f>
        <v>UPDATE accessperiods SET name = '24 h Total' WHERE LanguageTag = '24htotal'</v>
      </c>
      <c r="O3" s="5" t="str">
        <f>CONCATENATE("UPDATE ",Database_ESP[[#This Row],[Table]]," SET ",Database_ESP[[#This Row],[Column]]," = '",Database_ESP[[#This Row],[ESP]],"' WHERE LanguageTag = '",Database_ESP[[#This Row],[Tag]],"'")</f>
        <v>UPDATE accessperiods SET name = '24 h Total' WHERE LanguageTag = '24htotal'</v>
      </c>
      <c r="P3" s="5" t="str">
        <f>CONCATENATE("UPDATE ",Database_ESP[[#This Row],[Table]]," SET ",Database_ESP[[#This Row],[Column]]," = '",Database_ESP[[#This Row],[ENG]],"' WHERE LanguageTag = '",Database_ESP[[#This Row],[Tag]],"'")</f>
        <v>UPDATE accessperiods SET name = '24 hours Total' WHERE LanguageTag = '24htotal'</v>
      </c>
      <c r="Q3" s="5" t="str">
        <f>CONCATENATE("UPDATE ",Database_ESP[[#This Row],[Table]]," SET ",Database_ESP[[#This Row],[Column]]," = '",Database_ESP[[#This Row],[FR]],"' WHERE LanguageTag = '",Database_ESP[[#This Row],[Tag]],"'")</f>
        <v>UPDATE accessperiods SET name = '24 h Total' WHERE LanguageTag = '24htotal'</v>
      </c>
      <c r="R3" s="5" t="str">
        <f>CONCATENATE("UPDATE ",Database_ESP[[#This Row],[Table]]," SET ",Database_ESP[[#This Row],[Column]]," = '",Database_ESP[[#This Row],[IT]],"' WHERE LanguageTag = '",Database_ESP[[#This Row],[Tag]],"'")</f>
        <v>UPDATE accessperiods SET name = '24 ore Totale' WHERE LanguageTag = '24htotal'</v>
      </c>
      <c r="S3" s="5" t="str">
        <f>CONCATENATE("UPDATE ",Database_ESP[[#This Row],[Table]]," SET ",Database_ESP[[#This Row],[Column]]," = '",Database_ESP[[#This Row],[SK]],"' WHERE LanguageTag = '",Database_ESP[[#This Row],[Tag]],"'")</f>
        <v>UPDATE accessperiods SET name = '24 h Spolu' WHERE LanguageTag = '24htotal'</v>
      </c>
    </row>
    <row r="4" spans="1:19" ht="60" x14ac:dyDescent="0.25">
      <c r="A4" s="2" t="s">
        <v>772</v>
      </c>
      <c r="B4" s="2" t="str">
        <f t="shared" si="4"/>
        <v>RES_database_one.accrualsrules.arrastrevacaciones.name.rotext</v>
      </c>
      <c r="C4" s="2" t="str">
        <f t="shared" si="0"/>
        <v>accrualsrules</v>
      </c>
      <c r="D4" s="2" t="str">
        <f t="shared" si="1"/>
        <v>arrastrevacaciones</v>
      </c>
      <c r="E4" s="2" t="str">
        <f t="shared" si="2"/>
        <v>name</v>
      </c>
      <c r="F4" s="2" t="str">
        <f t="shared" si="3"/>
        <v>Arrastre vacaciones</v>
      </c>
      <c r="G4" s="1" t="s">
        <v>884</v>
      </c>
      <c r="H4" s="1" t="s">
        <v>183</v>
      </c>
      <c r="I4" s="1" t="s">
        <v>480</v>
      </c>
      <c r="J4" s="1" t="s">
        <v>515</v>
      </c>
      <c r="K4" s="1" t="s">
        <v>627</v>
      </c>
      <c r="L4" s="1" t="s">
        <v>328</v>
      </c>
      <c r="M4" s="1" t="s">
        <v>404</v>
      </c>
      <c r="N4" s="5" t="str">
        <f>CONCATENATE("UPDATE ",Database_ESP[[#This Row],[Table]]," SET ",Database_ESP[[#This Row],[Column]]," = '",Database_ESP[[#This Row],[POR.XAVI.INICIAL]],"' WHERE LanguageTag = '",Database_ESP[[#This Row],[Tag]],"'")</f>
        <v>UPDATE accrualsrules SET name = 'Transferência de férias' WHERE LanguageTag = 'arrastrevacaciones'</v>
      </c>
      <c r="O4" s="5" t="str">
        <f>CONCATENATE("UPDATE ",Database_ESP[[#This Row],[Table]]," SET ",Database_ESP[[#This Row],[Column]]," = '",Database_ESP[[#This Row],[ESP]],"' WHERE LanguageTag = '",Database_ESP[[#This Row],[Tag]],"'")</f>
        <v>UPDATE accrualsrules SET name = 'Arrastre vacaciones' WHERE LanguageTag = 'arrastrevacaciones'</v>
      </c>
      <c r="P4" s="5" t="str">
        <f>CONCATENATE("UPDATE ",Database_ESP[[#This Row],[Table]]," SET ",Database_ESP[[#This Row],[Column]]," = '",Database_ESP[[#This Row],[ENG]],"' WHERE LanguageTag = '",Database_ESP[[#This Row],[Tag]],"'")</f>
        <v>UPDATE accrualsrules SET name = 'Vacation Dragging' WHERE LanguageTag = 'arrastrevacaciones'</v>
      </c>
      <c r="Q4" s="5" t="str">
        <f>CONCATENATE("UPDATE ",Database_ESP[[#This Row],[Table]]," SET ",Database_ESP[[#This Row],[Column]]," = '",Database_ESP[[#This Row],[FR]],"' WHERE LanguageTag = '",Database_ESP[[#This Row],[Tag]],"'")</f>
        <v>UPDATE accrualsrules SET name = 'La chasse au trésor pendant les vacances' WHERE LanguageTag = 'arrastrevacaciones'</v>
      </c>
      <c r="R4" s="5" t="str">
        <f>CONCATENATE("UPDATE ",Database_ESP[[#This Row],[Table]]," SET ",Database_ESP[[#This Row],[Column]]," = '",Database_ESP[[#This Row],[IT]],"' WHERE LanguageTag = '",Database_ESP[[#This Row],[Tag]],"'")</f>
        <v>UPDATE accrualsrules SET name = 'Vacanze a strascico' WHERE LanguageTag = 'arrastrevacaciones'</v>
      </c>
      <c r="S4" s="5" t="str">
        <f>CONCATENATE("UPDATE ",Database_ESP[[#This Row],[Table]]," SET ",Database_ESP[[#This Row],[Column]]," = '",Database_ESP[[#This Row],[SK]],"' WHERE LanguageTag = '",Database_ESP[[#This Row],[Tag]],"'")</f>
        <v>UPDATE accrualsrules SET name = 'Vlečná sieť na dovolenke' WHERE LanguageTag = 'arrastrevacaciones'</v>
      </c>
    </row>
    <row r="5" spans="1:19" ht="300" x14ac:dyDescent="0.25">
      <c r="A5" s="2" t="s">
        <v>773</v>
      </c>
      <c r="B5" s="2" t="str">
        <f t="shared" si="4"/>
        <v>RES_database_one.causes.bajaaccidentelaboral.name.rotext</v>
      </c>
      <c r="C5" s="2" t="str">
        <f t="shared" si="0"/>
        <v>causes</v>
      </c>
      <c r="D5" s="2" t="str">
        <f t="shared" si="1"/>
        <v>bajaaccidentelaboral</v>
      </c>
      <c r="E5" s="2" t="str">
        <f t="shared" si="2"/>
        <v>name</v>
      </c>
      <c r="F5" s="2" t="str">
        <f t="shared" si="3"/>
        <v xml:space="preserve">Baja accidente laboral </v>
      </c>
      <c r="G5" s="1" t="s">
        <v>885</v>
      </c>
      <c r="H5" s="1" t="s">
        <v>184</v>
      </c>
      <c r="I5" s="1" t="s">
        <v>709</v>
      </c>
      <c r="J5" s="1" t="s">
        <v>516</v>
      </c>
      <c r="K5" s="1" t="s">
        <v>628</v>
      </c>
      <c r="L5" s="1" t="s">
        <v>658</v>
      </c>
      <c r="M5" s="1" t="s">
        <v>596</v>
      </c>
      <c r="N5" s="5" t="str">
        <f>CONCATENATE("UPDATE ",Database_ESP[[#This Row],[Table]]," SET ",Database_ESP[[#This Row],[Column]]," = '",Database_ESP[[#This Row],[POR.XAVI.INICIAL]],"' WHERE LanguageTag = '",Database_ESP[[#This Row],[Tag]],"'")</f>
        <v>UPDATE causes SET name = 'As férias do ano anterior podem ser gozadas até 31/1 do ano em curso. Se não forem gozadas, perdem-se (caducam). ' WHERE LanguageTag = 'bajaaccidentelaboral'</v>
      </c>
      <c r="O5" s="5" t="str">
        <f>CONCATENATE("UPDATE ",Database_ESP[[#This Row],[Table]]," SET ",Database_ESP[[#This Row],[Column]]," = '",Database_ESP[[#This Row],[ESP]],"' WHERE LanguageTag = '",Database_ESP[[#This Row],[Tag]],"'")</f>
        <v>UPDATE causes SET name = 'Baja accidente laboral ' WHERE LanguageTag = 'bajaaccidentelaboral'</v>
      </c>
      <c r="P5" s="5" t="str">
        <f>CONCATENATE("UPDATE ",Database_ESP[[#This Row],[Table]]," SET ",Database_ESP[[#This Row],[Column]]," = '",Database_ESP[[#This Row],[ENG]],"' WHERE LanguageTag = '",Database_ESP[[#This Row],[Tag]],"'")</f>
        <v>UPDATE causes SET name = 'Industrial accident leave' WHERE LanguageTag = 'bajaaccidentelaboral'</v>
      </c>
      <c r="Q5" s="5" t="str">
        <f>CONCATENATE("UPDATE ",Database_ESP[[#This Row],[Table]]," SET ",Database_ESP[[#This Row],[Column]]," = '",Database_ESP[[#This Row],[FR]],"' WHERE LanguageTag = '",Database_ESP[[#This Row],[Tag]],"'")</f>
        <v>UPDATE causes SET name = 'Congé de maladie accident du travail' WHERE LanguageTag = 'bajaaccidentelaboral'</v>
      </c>
      <c r="R5" s="5" t="str">
        <f>CONCATENATE("UPDATE ",Database_ESP[[#This Row],[Table]]," SET ",Database_ESP[[#This Row],[Column]]," = '",Database_ESP[[#This Row],[IT]],"' WHERE LanguageTag = '",Database_ESP[[#This Row],[Tag]],"'")</f>
        <v>UPDATE causes SET name = 'Congedo di malattia per infortunio sul lavoro' WHERE LanguageTag = 'bajaaccidentelaboral'</v>
      </c>
      <c r="S5" s="5" t="str">
        <f>CONCATENATE("UPDATE ",Database_ESP[[#This Row],[Table]]," SET ",Database_ESP[[#This Row],[Column]]," = '",Database_ESP[[#This Row],[SK]],"' WHERE LanguageTag = '",Database_ESP[[#This Row],[Tag]],"'")</f>
        <v>UPDATE causes SET name = 'Nemocenská dovolenka pre pracovné úrazy' WHERE LanguageTag = 'bajaaccidentelaboral'</v>
      </c>
    </row>
    <row r="6" spans="1:19" ht="105" x14ac:dyDescent="0.25">
      <c r="A6" s="2" t="s">
        <v>774</v>
      </c>
      <c r="B6" s="2" t="str">
        <f t="shared" si="4"/>
        <v>RES_database_one.causes.bajaenfermedadcomunaccnolaboral.name.rotext</v>
      </c>
      <c r="C6" s="2" t="str">
        <f t="shared" si="0"/>
        <v>causes</v>
      </c>
      <c r="D6" s="2" t="str">
        <f t="shared" si="1"/>
        <v>bajaenfermedadcomunaccnolaboral</v>
      </c>
      <c r="E6" s="2" t="str">
        <f t="shared" si="2"/>
        <v>name</v>
      </c>
      <c r="F6" s="2" t="str">
        <f t="shared" si="3"/>
        <v>Baja enfermedad común/acc no laboral</v>
      </c>
      <c r="G6" s="1" t="s">
        <v>886</v>
      </c>
      <c r="H6" s="1" t="s">
        <v>185</v>
      </c>
      <c r="I6" s="1" t="s">
        <v>710</v>
      </c>
      <c r="J6" s="1" t="s">
        <v>517</v>
      </c>
      <c r="K6" s="1" t="s">
        <v>629</v>
      </c>
      <c r="L6" s="1" t="s">
        <v>659</v>
      </c>
      <c r="M6" s="1" t="s">
        <v>597</v>
      </c>
      <c r="N6" s="5" t="str">
        <f>CONCATENATE("UPDATE ",Database_ESP[[#This Row],[Table]]," SET ",Database_ESP[[#This Row],[Column]]," = '",Database_ESP[[#This Row],[POR.XAVI.INICIAL]],"' WHERE LanguageTag = '",Database_ESP[[#This Row],[Tag]],"'")</f>
        <v>UPDATE causes SET name = 'Caducidade das férias do ano anterior' WHERE LanguageTag = 'bajaenfermedadcomunaccnolaboral'</v>
      </c>
      <c r="O6" s="5" t="str">
        <f>CONCATENATE("UPDATE ",Database_ESP[[#This Row],[Table]]," SET ",Database_ESP[[#This Row],[Column]]," = '",Database_ESP[[#This Row],[ESP]],"' WHERE LanguageTag = '",Database_ESP[[#This Row],[Tag]],"'")</f>
        <v>UPDATE causes SET name = 'Baja enfermedad común/acc no laboral' WHERE LanguageTag = 'bajaenfermedadcomunaccnolaboral'</v>
      </c>
      <c r="P6" s="5" t="str">
        <f>CONCATENATE("UPDATE ",Database_ESP[[#This Row],[Table]]," SET ",Database_ESP[[#This Row],[Column]]," = '",Database_ESP[[#This Row],[ENG]],"' WHERE LanguageTag = '",Database_ESP[[#This Row],[Tag]],"'")</f>
        <v>UPDATE causes SET name = 'Sick leave common illness/non-occupational accident' WHERE LanguageTag = 'bajaenfermedadcomunaccnolaboral'</v>
      </c>
      <c r="Q6" s="5" t="str">
        <f>CONCATENATE("UPDATE ",Database_ESP[[#This Row],[Table]]," SET ",Database_ESP[[#This Row],[Column]]," = '",Database_ESP[[#This Row],[FR]],"' WHERE LanguageTag = '",Database_ESP[[#This Row],[Tag]],"'")</f>
        <v>UPDATE causes SET name = 'Congé de maladie maladie ordinaire/action non professionnelle' WHERE LanguageTag = 'bajaenfermedadcomunaccnolaboral'</v>
      </c>
      <c r="R6" s="5" t="str">
        <f>CONCATENATE("UPDATE ",Database_ESP[[#This Row],[Table]]," SET ",Database_ESP[[#This Row],[Column]]," = '",Database_ESP[[#This Row],[IT]],"' WHERE LanguageTag = '",Database_ESP[[#This Row],[Tag]],"'")</f>
        <v>UPDATE causes SET name = 'Congedo per malattia comune/azione non professionale' WHERE LanguageTag = 'bajaenfermedadcomunaccnolaboral'</v>
      </c>
      <c r="S6" s="5" t="str">
        <f>CONCATENATE("UPDATE ",Database_ESP[[#This Row],[Table]]," SET ",Database_ESP[[#This Row],[Column]]," = '",Database_ESP[[#This Row],[SK]],"' WHERE LanguageTag = '",Database_ESP[[#This Row],[Tag]],"'")</f>
        <v>UPDATE causes SET name = 'Nemocenská dovolenka pri bežnej chorobe/nepráci' WHERE LanguageTag = 'bajaenfermedadcomunaccnolaboral'</v>
      </c>
    </row>
    <row r="7" spans="1:19" ht="135" x14ac:dyDescent="0.25">
      <c r="A7" s="2" t="s">
        <v>775</v>
      </c>
      <c r="B7" s="2" t="str">
        <f t="shared" si="4"/>
        <v>RES_database_one.causes.horascomplementarias.description.rotext</v>
      </c>
      <c r="C7" s="2" t="str">
        <f t="shared" si="0"/>
        <v>causes</v>
      </c>
      <c r="D7" s="2" t="str">
        <f t="shared" si="1"/>
        <v>horascomplementarias</v>
      </c>
      <c r="E7" s="2" t="str">
        <f t="shared" si="2"/>
        <v>description</v>
      </c>
      <c r="F7" s="2" t="str">
        <f t="shared" si="3"/>
        <v>Aquéllas que superan las horas ordinarias de la jornada laboral pero cuya realización ha sido pactada y acordada en un contrato a tiempo parcial. Pueden ser de 2 tipos: -Horas pactadas: Contratos a tiempo parcial con una jornada de trabajo no inferior a diez horas semanales en cómputo anual. -Horas voluntarias: Contratos a tiempo parcial de duración indefinida con una jornada de trabajo no inferior a 10 horas semanales en cómputo anual.</v>
      </c>
      <c r="G7" s="1" t="s">
        <v>50</v>
      </c>
      <c r="H7" s="1" t="s">
        <v>186</v>
      </c>
      <c r="I7" s="1" t="s">
        <v>711</v>
      </c>
      <c r="J7" s="1" t="s">
        <v>518</v>
      </c>
      <c r="K7" s="1" t="s">
        <v>251</v>
      </c>
      <c r="L7" s="1" t="s">
        <v>329</v>
      </c>
      <c r="M7" s="1" t="s">
        <v>405</v>
      </c>
      <c r="N7" s="5" t="str">
        <f>CONCATENATE("UPDATE ",Database_ESP[[#This Row],[Table]]," SET ",Database_ESP[[#This Row],[Column]]," = '",Database_ESP[[#This Row],[POR.XAVI.INICIAL]],"' WHERE LanguageTag = '",Database_ESP[[#This Row],[Tag]],"'")</f>
        <v>UPDATE causes SET description = 'Limite de 80 horas de trabalho suplementar a pagar' WHERE LanguageTag = 'horascomplementarias'</v>
      </c>
      <c r="O7" s="5" t="str">
        <f>CONCATENATE("UPDATE ",Database_ESP[[#This Row],[Table]]," SET ",Database_ESP[[#This Row],[Column]]," = '",Database_ESP[[#This Row],[ESP]],"' WHERE LanguageTag = '",Database_ESP[[#This Row],[Tag]],"'")</f>
        <v>UPDATE causes SET description = 'Aquéllas que superan las horas ordinarias de la jornada laboral pero cuya realización ha sido pactada y acordada en un contrato a tiempo parcial. Pueden ser de 2 tipos: -Horas pactadas: Contratos a tiempo parcial con una jornada de trabajo no inferior a diez horas semanales en cómputo anual. -Horas voluntarias: Contratos a tiempo parcial de duración indefinida con una jornada de trabajo no inferior a 10 horas semanales en cómputo anual.' WHERE LanguageTag = 'horascomplementarias'</v>
      </c>
      <c r="P7" s="5" t="str">
        <f>CONCATENATE("UPDATE ",Database_ESP[[#This Row],[Table]]," SET ",Database_ESP[[#This Row],[Column]]," = '",Database_ESP[[#This Row],[ENG]],"' WHERE LanguageTag = '",Database_ESP[[#This Row],[Tag]],"'")</f>
        <v>UPDATE causes SET description = 'Those that exceed the ordinary hours of the working day but whose performance has been agreed and agreed upon in a part-time contract. They can be of 2 types: - Agreed hours: Part-time contracts with a working day of no less than ten hours per week on an annual basis. - Voluntary hours: Part-time contracts of indefinite duration with a working day of no less than 10 hours per week on an annual basis.' WHERE LanguageTag = 'horascomplementarias'</v>
      </c>
      <c r="Q7" s="5" t="str">
        <f>CONCATENATE("UPDATE ",Database_ESP[[#This Row],[Table]]," SET ",Database_ESP[[#This Row],[Column]]," = '",Database_ESP[[#This Row],[FR]],"' WHERE LanguageTag = '",Database_ESP[[#This Row],[Tag]],"'")</f>
        <v>UPDATE causes SET description = 'Ceux qui dépassent les heures normales de la journée de travail mais dont l'exécution a été convenue dans le cadre d'un contrat à temps partiel. Ils peuvent être de deux types : -Heures convenues : contrats à temps partiel dont la journée de travail n'est pas inférieure à dix heures par semaine sur une base annuelle. -Heures volontaires : contrats à temps partiel à durée indéterminée dont la durée de travail n'est pas inférieure à 10 heures par semaine sur une base annuelle.' WHERE LanguageTag = 'horascomplementarias'</v>
      </c>
      <c r="R7" s="5" t="str">
        <f>CONCATENATE("UPDATE ",Database_ESP[[#This Row],[Table]]," SET ",Database_ESP[[#This Row],[Column]]," = '",Database_ESP[[#This Row],[IT]],"' WHERE LanguageTag = '",Database_ESP[[#This Row],[Tag]],"'")</f>
        <v>UPDATE causes SET description = 'Quelli che eccedono l'orario ordinario della giornata lavorativa, ma la cui prestazione è stata concordata e stabilita in un contratto part-time. Possono essere di 2 tipi: -Orario concordato: contratti a tempo parziale con una giornata lavorativa non inferiore a dieci ore settimanali su base annua. -Orario volontario: contratti part-time a tempo indeterminato con una giornata lavorativa non inferiore a 10 ore settimanali su base annua.' WHERE LanguageTag = 'horascomplementarias'</v>
      </c>
      <c r="S7" s="5" t="str">
        <f>CONCATENATE("UPDATE ",Database_ESP[[#This Row],[Table]]," SET ",Database_ESP[[#This Row],[Column]]," = '",Database_ESP[[#This Row],[SK]],"' WHERE LanguageTag = '",Database_ESP[[#This Row],[Tag]],"'")</f>
        <v>UPDATE causes SET description = 'Tí, ktorí prekračujú bežný pracovný čas, ale ktorých výkon bol dohodnutý a schválený v zmluve na čiastočný úväzok. Môžu byť 2 typy: -Dohodnutý pracovný čas: Zmluvy na čiastočný úväzok s pracovným dňom v rozsahu najmenej desať hodín týždenne na ročnom základe. -Dobrovoľné hodiny: Zmluvy na čiastočný úväzok na dobu neurčitú s pracovným dňom nie kratším ako 10 hodín týždenne na ročnom základe.' WHERE LanguageTag = 'horascomplementarias'</v>
      </c>
    </row>
    <row r="8" spans="1:19" ht="30" x14ac:dyDescent="0.25">
      <c r="A8" s="2" t="s">
        <v>776</v>
      </c>
      <c r="B8" s="2" t="str">
        <f t="shared" si="4"/>
        <v>RES_database_one.causes.horascomplementarias.name.rotext</v>
      </c>
      <c r="C8" s="2" t="str">
        <f t="shared" si="0"/>
        <v>causes</v>
      </c>
      <c r="D8" s="2" t="str">
        <f t="shared" si="1"/>
        <v>horascomplementarias</v>
      </c>
      <c r="E8" s="2" t="str">
        <f t="shared" si="2"/>
        <v>name</v>
      </c>
      <c r="F8" s="2" t="str">
        <f t="shared" si="3"/>
        <v xml:space="preserve">Horas complementarias </v>
      </c>
      <c r="G8" s="1" t="s">
        <v>43</v>
      </c>
      <c r="H8" s="1" t="s">
        <v>118</v>
      </c>
      <c r="I8" s="1" t="s">
        <v>481</v>
      </c>
      <c r="J8" s="1" t="s">
        <v>519</v>
      </c>
      <c r="K8" s="1" t="s">
        <v>252</v>
      </c>
      <c r="L8" s="1" t="s">
        <v>330</v>
      </c>
      <c r="M8" s="1" t="s">
        <v>406</v>
      </c>
      <c r="N8" s="5" t="str">
        <f>CONCATENATE("UPDATE ",Database_ESP[[#This Row],[Table]]," SET ",Database_ESP[[#This Row],[Column]]," = '",Database_ESP[[#This Row],[POR.XAVI.INICIAL]],"' WHERE LanguageTag = '",Database_ESP[[#This Row],[Tag]],"'")</f>
        <v>UPDATE causes SET name = 'Férias ATEP' WHERE LanguageTag = 'horascomplementarias'</v>
      </c>
      <c r="O8" s="5" t="str">
        <f>CONCATENATE("UPDATE ",Database_ESP[[#This Row],[Table]]," SET ",Database_ESP[[#This Row],[Column]]," = '",Database_ESP[[#This Row],[ESP]],"' WHERE LanguageTag = '",Database_ESP[[#This Row],[Tag]],"'")</f>
        <v>UPDATE causes SET name = 'Horas complementarias ' WHERE LanguageTag = 'horascomplementarias'</v>
      </c>
      <c r="P8" s="5" t="str">
        <f>CONCATENATE("UPDATE ",Database_ESP[[#This Row],[Table]]," SET ",Database_ESP[[#This Row],[Column]]," = '",Database_ESP[[#This Row],[ENG]],"' WHERE LanguageTag = '",Database_ESP[[#This Row],[Tag]],"'")</f>
        <v>UPDATE causes SET name = 'Supplementary hours' WHERE LanguageTag = 'horascomplementarias'</v>
      </c>
      <c r="Q8" s="5" t="str">
        <f>CONCATENATE("UPDATE ",Database_ESP[[#This Row],[Table]]," SET ",Database_ESP[[#This Row],[Column]]," = '",Database_ESP[[#This Row],[FR]],"' WHERE LanguageTag = '",Database_ESP[[#This Row],[Tag]],"'")</f>
        <v>UPDATE causes SET name = 'heures complémentaires' WHERE LanguageTag = 'horascomplementarias'</v>
      </c>
      <c r="R8" s="5" t="str">
        <f>CONCATENATE("UPDATE ",Database_ESP[[#This Row],[Table]]," SET ",Database_ESP[[#This Row],[Column]]," = '",Database_ESP[[#This Row],[IT]],"' WHERE LanguageTag = '",Database_ESP[[#This Row],[Tag]],"'")</f>
        <v>UPDATE causes SET name = 'ore complementari' WHERE LanguageTag = 'horascomplementarias'</v>
      </c>
      <c r="S8" s="5" t="str">
        <f>CONCATENATE("UPDATE ",Database_ESP[[#This Row],[Table]]," SET ",Database_ESP[[#This Row],[Column]]," = '",Database_ESP[[#This Row],[SK]],"' WHERE LanguageTag = '",Database_ESP[[#This Row],[Tag]],"'")</f>
        <v>UPDATE causes SET name = 'doplnkové hodiny' WHERE LanguageTag = 'horascomplementarias'</v>
      </c>
    </row>
    <row r="9" spans="1:19" ht="60" x14ac:dyDescent="0.25">
      <c r="A9" s="2" t="s">
        <v>777</v>
      </c>
      <c r="B9" s="2" t="str">
        <f t="shared" si="4"/>
        <v>RES_database_one.causes.horasextraordinarias.description.rotext</v>
      </c>
      <c r="C9" s="2" t="str">
        <f t="shared" si="0"/>
        <v>causes</v>
      </c>
      <c r="D9" s="2" t="str">
        <f t="shared" si="1"/>
        <v>horasextraordinarias</v>
      </c>
      <c r="E9" s="2" t="str">
        <f t="shared" si="2"/>
        <v>description</v>
      </c>
      <c r="F9" s="2" t="str">
        <f t="shared" si="3"/>
        <v>Horas de trabajo que se realicen sobre la duración máxima de la jornada ordinaria de trabajo fijada, legal o convencionalmente.  Como máximo, se podrán realizar 80h de este tipo al año.</v>
      </c>
      <c r="G9" s="1" t="s">
        <v>51</v>
      </c>
      <c r="H9" s="1" t="s">
        <v>118</v>
      </c>
      <c r="I9" s="1" t="s">
        <v>712</v>
      </c>
      <c r="J9" s="1" t="s">
        <v>520</v>
      </c>
      <c r="K9" s="1" t="s">
        <v>253</v>
      </c>
      <c r="L9" s="1" t="s">
        <v>331</v>
      </c>
      <c r="M9" s="1" t="s">
        <v>407</v>
      </c>
      <c r="N9" s="5" t="str">
        <f>CONCATENATE("UPDATE ",Database_ESP[[#This Row],[Table]]," SET ",Database_ESP[[#This Row],[Column]]," = '",Database_ESP[[#This Row],[POR.XAVI.INICIAL]],"' WHERE LanguageTag = '",Database_ESP[[#This Row],[Tag]],"'")</f>
        <v>UPDATE causes SET description = 'Férias ATEP' WHERE LanguageTag = 'horasextraordinarias'</v>
      </c>
      <c r="O9" s="5" t="str">
        <f>CONCATENATE("UPDATE ",Database_ESP[[#This Row],[Table]]," SET ",Database_ESP[[#This Row],[Column]]," = '",Database_ESP[[#This Row],[ESP]],"' WHERE LanguageTag = '",Database_ESP[[#This Row],[Tag]],"'")</f>
        <v>UPDATE causes SET description = 'Horas de trabajo que se realicen sobre la duración máxima de la jornada ordinaria de trabajo fijada, legal o convencionalmente.  Como máximo, se podrán realizar 80h de este tipo al año.' WHERE LanguageTag = 'horasextraordinarias'</v>
      </c>
      <c r="P9" s="5" t="str">
        <f>CONCATENATE("UPDATE ",Database_ESP[[#This Row],[Table]]," SET ",Database_ESP[[#This Row],[Column]]," = '",Database_ESP[[#This Row],[ENG]],"' WHERE LanguageTag = '",Database_ESP[[#This Row],[Tag]],"'")</f>
        <v>UPDATE causes SET description = 'Hours of work carried out over and above the maximum duration of the ordinary working day established by law or convention. A maximum of 80 hours of this type may be carried out per year.' WHERE LanguageTag = 'horasextraordinarias'</v>
      </c>
      <c r="Q9" s="5" t="str">
        <f>CONCATENATE("UPDATE ",Database_ESP[[#This Row],[Table]]," SET ",Database_ESP[[#This Row],[Column]]," = '",Database_ESP[[#This Row],[FR]],"' WHERE LanguageTag = '",Database_ESP[[#This Row],[Tag]],"'")</f>
        <v>UPDATE causes SET description = 'Heures de travail effectuées au-delà de la durée maximale de la journée de travail ordinaire fixée par la loi ou par convention.  Un maximum de 80 heures de ce type peut être effectué par an.' WHERE LanguageTag = 'horasextraordinarias'</v>
      </c>
      <c r="R9" s="5" t="str">
        <f>CONCATENATE("UPDATE ",Database_ESP[[#This Row],[Table]]," SET ",Database_ESP[[#This Row],[Column]]," = '",Database_ESP[[#This Row],[IT]],"' WHERE LanguageTag = '",Database_ESP[[#This Row],[Tag]],"'")</f>
        <v>UPDATE causes SET description = 'Ore di lavoro svolte oltre la durata massima della giornata lavorativa ordinaria stabilita per legge o per accordo.  Questo tipo di lavoro può essere svolto per un massimo di 80 ore all'anno.' WHERE LanguageTag = 'horasextraordinarias'</v>
      </c>
      <c r="S9" s="5" t="str">
        <f>CONCATENATE("UPDATE ",Database_ESP[[#This Row],[Table]]," SET ",Database_ESP[[#This Row],[Column]]," = '",Database_ESP[[#This Row],[SK]],"' WHERE LanguageTag = '",Database_ESP[[#This Row],[Tag]],"'")</f>
        <v>UPDATE causes SET description = 'Hodiny práce vykonávanej v rámci maximálneho trvania bežného pracovného dňa stanoveného zákonom alebo dohodou.  Za rok sa môže odpracovať maximálne 80 hodín tohto druhu práce.' WHERE LanguageTag = 'horasextraordinarias'</v>
      </c>
    </row>
    <row r="10" spans="1:19" ht="30" x14ac:dyDescent="0.25">
      <c r="A10" s="2" t="s">
        <v>778</v>
      </c>
      <c r="B10" s="2" t="str">
        <f t="shared" si="4"/>
        <v>RES_database_one.causes.horasextraordinarias.name.rotext</v>
      </c>
      <c r="C10" s="2" t="str">
        <f t="shared" si="0"/>
        <v>causes</v>
      </c>
      <c r="D10" s="2" t="str">
        <f t="shared" si="1"/>
        <v>horasextraordinarias</v>
      </c>
      <c r="E10" s="2" t="str">
        <f t="shared" si="2"/>
        <v>name</v>
      </c>
      <c r="F10" s="2" t="str">
        <f t="shared" si="3"/>
        <v xml:space="preserve">Horas extraordinarias </v>
      </c>
      <c r="G10" s="1" t="s">
        <v>44</v>
      </c>
      <c r="H10" s="1" t="s">
        <v>137</v>
      </c>
      <c r="I10" s="1" t="s">
        <v>138</v>
      </c>
      <c r="J10" s="1" t="s">
        <v>521</v>
      </c>
      <c r="K10" s="1" t="s">
        <v>254</v>
      </c>
      <c r="L10" s="1" t="s">
        <v>332</v>
      </c>
      <c r="M10" s="1" t="s">
        <v>408</v>
      </c>
      <c r="N10" s="5" t="str">
        <f>CONCATENATE("UPDATE ",Database_ESP[[#This Row],[Table]]," SET ",Database_ESP[[#This Row],[Column]]," = '",Database_ESP[[#This Row],[POR.XAVI.INICIAL]],"' WHERE LanguageTag = '",Database_ESP[[#This Row],[Tag]],"'")</f>
        <v>UPDATE causes SET name = 'Férias CC' WHERE LanguageTag = 'horasextraordinarias'</v>
      </c>
      <c r="O10" s="5" t="str">
        <f>CONCATENATE("UPDATE ",Database_ESP[[#This Row],[Table]]," SET ",Database_ESP[[#This Row],[Column]]," = '",Database_ESP[[#This Row],[ESP]],"' WHERE LanguageTag = '",Database_ESP[[#This Row],[Tag]],"'")</f>
        <v>UPDATE causes SET name = 'Horas extraordinarias ' WHERE LanguageTag = 'horasextraordinarias'</v>
      </c>
      <c r="P10" s="5" t="str">
        <f>CONCATENATE("UPDATE ",Database_ESP[[#This Row],[Table]]," SET ",Database_ESP[[#This Row],[Column]]," = '",Database_ESP[[#This Row],[ENG]],"' WHERE LanguageTag = '",Database_ESP[[#This Row],[Tag]],"'")</f>
        <v>UPDATE causes SET name = ' Overtime' WHERE LanguageTag = 'horasextraordinarias'</v>
      </c>
      <c r="Q10" s="5" t="str">
        <f>CONCATENATE("UPDATE ",Database_ESP[[#This Row],[Table]]," SET ",Database_ESP[[#This Row],[Column]]," = '",Database_ESP[[#This Row],[FR]],"' WHERE LanguageTag = '",Database_ESP[[#This Row],[Tag]],"'")</f>
        <v>UPDATE causes SET name = 'Heures supplémentaires' WHERE LanguageTag = 'horasextraordinarias'</v>
      </c>
      <c r="R10" s="5" t="str">
        <f>CONCATENATE("UPDATE ",Database_ESP[[#This Row],[Table]]," SET ",Database_ESP[[#This Row],[Column]]," = '",Database_ESP[[#This Row],[IT]],"' WHERE LanguageTag = '",Database_ESP[[#This Row],[Tag]],"'")</f>
        <v>UPDATE causes SET name = 'Lavoro straordinario' WHERE LanguageTag = 'horasextraordinarias'</v>
      </c>
      <c r="S10" s="5" t="str">
        <f>CONCATENATE("UPDATE ",Database_ESP[[#This Row],[Table]]," SET ",Database_ESP[[#This Row],[Column]]," = '",Database_ESP[[#This Row],[SK]],"' WHERE LanguageTag = '",Database_ESP[[#This Row],[Tag]],"'")</f>
        <v>UPDATE causes SET name = 'Nadčasy' WHERE LanguageTag = 'horasextraordinarias'</v>
      </c>
    </row>
    <row r="11" spans="1:19" ht="30" x14ac:dyDescent="0.25">
      <c r="A11" s="2" t="s">
        <v>779</v>
      </c>
      <c r="B11" s="2" t="str">
        <f t="shared" si="4"/>
        <v>RES_database_one.causes.medico.description.rotext</v>
      </c>
      <c r="C11" s="2" t="str">
        <f t="shared" si="0"/>
        <v>causes</v>
      </c>
      <c r="D11" s="2" t="str">
        <f t="shared" si="1"/>
        <v>medico</v>
      </c>
      <c r="E11" s="2" t="str">
        <f t="shared" si="2"/>
        <v>description</v>
      </c>
      <c r="F11" s="2" t="str">
        <f t="shared" si="3"/>
        <v>Visita médico</v>
      </c>
      <c r="G11" s="1" t="s">
        <v>887</v>
      </c>
      <c r="H11" s="1" t="s">
        <v>137</v>
      </c>
      <c r="I11" s="1" t="s">
        <v>713</v>
      </c>
      <c r="J11" s="1" t="s">
        <v>522</v>
      </c>
      <c r="K11" s="1" t="s">
        <v>630</v>
      </c>
      <c r="L11" s="1" t="s">
        <v>660</v>
      </c>
      <c r="M11" s="1" t="s">
        <v>598</v>
      </c>
      <c r="N11" s="5" t="str">
        <f>CONCATENATE("UPDATE ",Database_ESP[[#This Row],[Table]]," SET ",Database_ESP[[#This Row],[Column]]," = '",Database_ESP[[#This Row],[POR.XAVI.INICIAL]],"' WHERE LanguageTag = '",Database_ESP[[#This Row],[Tag]],"'")</f>
        <v>UPDATE causes SET description = 'Férias CC' WHERE LanguageTag = 'medico'</v>
      </c>
      <c r="O11" s="5" t="str">
        <f>CONCATENATE("UPDATE ",Database_ESP[[#This Row],[Table]]," SET ",Database_ESP[[#This Row],[Column]]," = '",Database_ESP[[#This Row],[ESP]],"' WHERE LanguageTag = '",Database_ESP[[#This Row],[Tag]],"'")</f>
        <v>UPDATE causes SET description = 'Visita médico' WHERE LanguageTag = 'medico'</v>
      </c>
      <c r="P11" s="5" t="str">
        <f>CONCATENATE("UPDATE ",Database_ESP[[#This Row],[Table]]," SET ",Database_ESP[[#This Row],[Column]]," = '",Database_ESP[[#This Row],[ENG]],"' WHERE LanguageTag = '",Database_ESP[[#This Row],[Tag]],"'")</f>
        <v>UPDATE causes SET description = 'Doctor's visit' WHERE LanguageTag = 'medico'</v>
      </c>
      <c r="Q11" s="5" t="str">
        <f>CONCATENATE("UPDATE ",Database_ESP[[#This Row],[Table]]," SET ",Database_ESP[[#This Row],[Column]]," = '",Database_ESP[[#This Row],[FR]],"' WHERE LanguageTag = '",Database_ESP[[#This Row],[Tag]],"'")</f>
        <v>UPDATE causes SET description = 'Visite chez le médecin' WHERE LanguageTag = 'medico'</v>
      </c>
      <c r="R11" s="5" t="str">
        <f>CONCATENATE("UPDATE ",Database_ESP[[#This Row],[Table]]," SET ",Database_ESP[[#This Row],[Column]]," = '",Database_ESP[[#This Row],[IT]],"' WHERE LanguageTag = '",Database_ESP[[#This Row],[Tag]],"'")</f>
        <v>UPDATE causes SET description = 'Visita medica' WHERE LanguageTag = 'medico'</v>
      </c>
      <c r="S11" s="5" t="str">
        <f>CONCATENATE("UPDATE ",Database_ESP[[#This Row],[Table]]," SET ",Database_ESP[[#This Row],[Column]]," = '",Database_ESP[[#This Row],[SK]],"' WHERE LanguageTag = '",Database_ESP[[#This Row],[Tag]],"'")</f>
        <v>UPDATE causes SET description = 'Návšteva lekára' WHERE LanguageTag = 'medico'</v>
      </c>
    </row>
    <row r="12" spans="1:19" ht="165" x14ac:dyDescent="0.25">
      <c r="A12" s="2" t="s">
        <v>690</v>
      </c>
      <c r="B12" s="2" t="str">
        <f t="shared" si="4"/>
        <v>RES_database_one.causes.medico.name.rotext</v>
      </c>
      <c r="C12" s="2" t="str">
        <f t="shared" si="0"/>
        <v>causes</v>
      </c>
      <c r="D12" s="2" t="str">
        <f t="shared" si="1"/>
        <v>medico</v>
      </c>
      <c r="E12" s="2" t="str">
        <f t="shared" si="2"/>
        <v>name</v>
      </c>
      <c r="F12" s="2" t="str">
        <f t="shared" si="3"/>
        <v>Médico</v>
      </c>
      <c r="G12" s="1" t="s">
        <v>113</v>
      </c>
      <c r="H12" s="1" t="s">
        <v>187</v>
      </c>
      <c r="I12" s="1" t="s">
        <v>113</v>
      </c>
      <c r="J12" s="1" t="s">
        <v>523</v>
      </c>
      <c r="K12" s="1" t="s">
        <v>257</v>
      </c>
      <c r="L12" s="1" t="s">
        <v>334</v>
      </c>
      <c r="M12" s="1" t="s">
        <v>411</v>
      </c>
      <c r="N12" s="5" t="str">
        <f>CONCATENATE("UPDATE ",Database_ESP[[#This Row],[Table]]," SET ",Database_ESP[[#This Row],[Column]]," = '",Database_ESP[[#This Row],[POR.XAVI.INICIAL]],"' WHERE LanguageTag = '",Database_ESP[[#This Row],[Tag]],"'")</f>
        <v>UPDATE causes SET name = 'Funções inescusáveis, de carácter público e/ou pessoal' WHERE LanguageTag = 'medico'</v>
      </c>
      <c r="O12" s="5" t="str">
        <f>CONCATENATE("UPDATE ",Database_ESP[[#This Row],[Table]]," SET ",Database_ESP[[#This Row],[Column]]," = '",Database_ESP[[#This Row],[ESP]],"' WHERE LanguageTag = '",Database_ESP[[#This Row],[Tag]],"'")</f>
        <v>UPDATE causes SET name = 'Médico' WHERE LanguageTag = 'medico'</v>
      </c>
      <c r="P12" s="5" t="str">
        <f>CONCATENATE("UPDATE ",Database_ESP[[#This Row],[Table]]," SET ",Database_ESP[[#This Row],[Column]]," = '",Database_ESP[[#This Row],[ENG]],"' WHERE LanguageTag = '",Database_ESP[[#This Row],[Tag]],"'")</f>
        <v>UPDATE causes SET name = 'Doctor' WHERE LanguageTag = 'medico'</v>
      </c>
      <c r="Q12" s="5" t="str">
        <f>CONCATENATE("UPDATE ",Database_ESP[[#This Row],[Table]]," SET ",Database_ESP[[#This Row],[Column]]," = '",Database_ESP[[#This Row],[FR]],"' WHERE LanguageTag = '",Database_ESP[[#This Row],[Tag]],"'")</f>
        <v>UPDATE causes SET name = 'Médecin' WHERE LanguageTag = 'medico'</v>
      </c>
      <c r="R12" s="5" t="str">
        <f>CONCATENATE("UPDATE ",Database_ESP[[#This Row],[Table]]," SET ",Database_ESP[[#This Row],[Column]]," = '",Database_ESP[[#This Row],[IT]],"' WHERE LanguageTag = '",Database_ESP[[#This Row],[Tag]],"'")</f>
        <v>UPDATE causes SET name = 'Il medico' WHERE LanguageTag = 'medico'</v>
      </c>
      <c r="S12" s="5" t="str">
        <f>CONCATENATE("UPDATE ",Database_ESP[[#This Row],[Table]]," SET ",Database_ESP[[#This Row],[Column]]," = '",Database_ESP[[#This Row],[SK]],"' WHERE LanguageTag = '",Database_ESP[[#This Row],[Tag]],"'")</f>
        <v>UPDATE causes SET name = 'Doktor' WHERE LanguageTag = 'medico'</v>
      </c>
    </row>
    <row r="13" spans="1:19" ht="165" x14ac:dyDescent="0.25">
      <c r="A13" s="2" t="s">
        <v>780</v>
      </c>
      <c r="B13" s="2" t="str">
        <f t="shared" si="4"/>
        <v>RES_database_one.causes.permisoslegalesnoretribuidos.description.rotext</v>
      </c>
      <c r="C13" s="2" t="str">
        <f t="shared" si="0"/>
        <v>causes</v>
      </c>
      <c r="D13" s="2" t="str">
        <f t="shared" si="1"/>
        <v>permisoslegalesnoretribuidos</v>
      </c>
      <c r="E13" s="2" t="str">
        <f t="shared" si="2"/>
        <v>description</v>
      </c>
      <c r="F13" s="2" t="str">
        <f t="shared" si="3"/>
        <v xml:space="preserve">Es un permiso que se podría disfrutar por cualquier motivo, salvo que el convenio aplicable especificase otra cosa, existiendo acuerdo empresario-trabajador. En este se suspende la obligación de trabajar y de abonar el salario correspondiente al tiempo que el empleado se haya ausentado. No se encuentran regulados normativamente (salvo en algunos convenios colectivos). Las condiciones de uso y disfrute de estos permisos/licencia se regulan por acuerdos entre empresario y trabajador. </v>
      </c>
      <c r="G13" s="1" t="s">
        <v>55</v>
      </c>
      <c r="H13" s="1" t="s">
        <v>188</v>
      </c>
      <c r="I13" s="1" t="s">
        <v>714</v>
      </c>
      <c r="J13" s="1" t="s">
        <v>524</v>
      </c>
      <c r="K13" s="1" t="s">
        <v>258</v>
      </c>
      <c r="L13" s="1" t="s">
        <v>335</v>
      </c>
      <c r="M13" s="1" t="s">
        <v>412</v>
      </c>
      <c r="N13" s="5" t="str">
        <f>CONCATENATE("UPDATE ",Database_ESP[[#This Row],[Table]]," SET ",Database_ESP[[#This Row],[Column]]," = '",Database_ESP[[#This Row],[POR.XAVI.INICIAL]],"' WHERE LanguageTag = '",Database_ESP[[#This Row],[Tag]],"'")</f>
        <v>UPDATE causes SET description = 'Deveres inescusáveis, de carácter público e/ou pessoal' WHERE LanguageTag = 'permisoslegalesnoretribuidos'</v>
      </c>
      <c r="O13" s="5" t="str">
        <f>CONCATENATE("UPDATE ",Database_ESP[[#This Row],[Table]]," SET ",Database_ESP[[#This Row],[Column]]," = '",Database_ESP[[#This Row],[ESP]],"' WHERE LanguageTag = '",Database_ESP[[#This Row],[Tag]],"'")</f>
        <v>UPDATE causes SET description = 'Es un permiso que se podría disfrutar por cualquier motivo, salvo que el convenio aplicable especificase otra cosa, existiendo acuerdo empresario-trabajador. En este se suspende la obligación de trabajar y de abonar el salario correspondiente al tiempo que el empleado se haya ausentado. No se encuentran regulados normativamente (salvo en algunos convenios colectivos). Las condiciones de uso y disfrute de estos permisos/licencia se regulan por acuerdos entre empresario y trabajador. ' WHERE LanguageTag = 'permisoslegalesnoretribuidos'</v>
      </c>
      <c r="P13" s="5" t="str">
        <f>CONCATENATE("UPDATE ",Database_ESP[[#This Row],[Table]]," SET ",Database_ESP[[#This Row],[Column]]," = '",Database_ESP[[#This Row],[ENG]],"' WHERE LanguageTag = '",Database_ESP[[#This Row],[Tag]],"'")</f>
        <v>UPDATE causes SET description = ' This is a leave that can be taken for any reason, unless the applicable agreement specifies otherwise, and there is an agreement between the employer and the employee. This suspends the obligation to work and pay the salary corresponding to the time that the employee has been absent. They are not regulated by law (except in some collective agreements). The conditions of use and enjoyment of these permits/licenses are regulated by agreements between the employer and the employee.' WHERE LanguageTag = 'permisoslegalesnoretribuidos'</v>
      </c>
      <c r="Q13" s="5" t="str">
        <f>CONCATENATE("UPDATE ",Database_ESP[[#This Row],[Table]]," SET ",Database_ESP[[#This Row],[Column]]," = '",Database_ESP[[#This Row],[FR]],"' WHERE LanguageTag = '",Database_ESP[[#This Row],[Tag]],"'")</f>
        <v>UPDATE causes SET description = 'Il s'agit d'un congé qui peut être pris pour n'importe quelle raison, sauf si la convention applicable en dispose autrement et s'il existe un accord entre l'employeur et le salarié. Il suspend l'obligation de travailler et de verser le salaire correspondant à la durée de l'absence. Elles ne sont pas réglementées par la loi (sauf dans certaines conventions collectives). Les conditions d'utilisation et de jouissance de ces congés sont régies par des accords entre l'employeur et l'employé.' WHERE LanguageTag = 'permisoslegalesnoretribuidos'</v>
      </c>
      <c r="R13" s="5" t="str">
        <f>CONCATENATE("UPDATE ",Database_ESP[[#This Row],[Table]]," SET ",Database_ESP[[#This Row],[Column]]," = '",Database_ESP[[#This Row],[IT]],"' WHERE LanguageTag = '",Database_ESP[[#This Row],[Tag]],"'")</f>
        <v>UPDATE causes SET description = 'Si tratta di un congedo che può essere preso per qualsiasi motivo, a meno che il contratto applicabile non specifichi diversamente e vi sia un accordo tra datore di lavoro e dipendente. Sospende l'obbligo di lavorare e di pagare la retribuzione corrispondente al periodo di assenza del dipendente. Non sono regolati dalla legge (tranne che in alcuni contratti collettivi). Le condizioni di utilizzo e di godimento di questi permessi/permessi sono regolate da accordi tra datore di lavoro e dipendente.' WHERE LanguageTag = 'permisoslegalesnoretribuidos'</v>
      </c>
      <c r="S13" s="5" t="str">
        <f>CONCATENATE("UPDATE ",Database_ESP[[#This Row],[Table]]," SET ",Database_ESP[[#This Row],[Column]]," = '",Database_ESP[[#This Row],[SK]],"' WHERE LanguageTag = '",Database_ESP[[#This Row],[Tag]],"'")</f>
        <v>UPDATE causes SET description = 'Ide o dovolenku, ktorú si možno vziať z akéhokoľvek dôvodu, pokiaľ platná dohoda nestanovuje inak a pokiaľ neexistuje dohoda medzi zamestnávateľom a zamestnancom. Pozastavuje povinnosť pracovať a vyplácať mzdu zodpovedajúcu času, počas ktorého bol zamestnanec neprítomný. Nie sú upravené zákonom (s výnimkou niektorých kolektívnych zmlúv). Podmienky čerpania a využívania týchto dovoleniek/odpočinku upravujú dohody medzi zamestnávateľom a zamestnancom.' WHERE LanguageTag = 'permisoslegalesnoretribuidos'</v>
      </c>
    </row>
    <row r="14" spans="1:19" ht="30" x14ac:dyDescent="0.25">
      <c r="A14" s="2" t="s">
        <v>781</v>
      </c>
      <c r="B14" s="2" t="str">
        <f t="shared" si="4"/>
        <v>RES_database_one.causes.permisoslegalesnoretribuidos.name.rotext</v>
      </c>
      <c r="C14" s="2" t="str">
        <f t="shared" si="0"/>
        <v>causes</v>
      </c>
      <c r="D14" s="2" t="str">
        <f t="shared" si="1"/>
        <v>permisoslegalesnoretribuidos</v>
      </c>
      <c r="E14" s="2" t="str">
        <f t="shared" si="2"/>
        <v>name</v>
      </c>
      <c r="F14" s="2" t="str">
        <f t="shared" si="3"/>
        <v xml:space="preserve">Permisos legales no retribuidos </v>
      </c>
      <c r="G14" s="1" t="s">
        <v>47</v>
      </c>
      <c r="H14" s="1" t="s">
        <v>122</v>
      </c>
      <c r="I14" s="1" t="s">
        <v>715</v>
      </c>
      <c r="J14" s="1" t="s">
        <v>525</v>
      </c>
      <c r="K14" s="1" t="s">
        <v>259</v>
      </c>
      <c r="L14" s="1" t="s">
        <v>336</v>
      </c>
      <c r="M14" s="1" t="s">
        <v>413</v>
      </c>
      <c r="N14" s="5" t="str">
        <f>CONCATENATE("UPDATE ",Database_ESP[[#This Row],[Table]]," SET ",Database_ESP[[#This Row],[Column]]," = '",Database_ESP[[#This Row],[POR.XAVI.INICIAL]],"' WHERE LanguageTag = '",Database_ESP[[#This Row],[Tag]],"'")</f>
        <v>UPDATE causes SET name = 'Exames oficiais' WHERE LanguageTag = 'permisoslegalesnoretribuidos'</v>
      </c>
      <c r="O14" s="5" t="str">
        <f>CONCATENATE("UPDATE ",Database_ESP[[#This Row],[Table]]," SET ",Database_ESP[[#This Row],[Column]]," = '",Database_ESP[[#This Row],[ESP]],"' WHERE LanguageTag = '",Database_ESP[[#This Row],[Tag]],"'")</f>
        <v>UPDATE causes SET name = 'Permisos legales no retribuidos ' WHERE LanguageTag = 'permisoslegalesnoretribuidos'</v>
      </c>
      <c r="P14" s="5" t="str">
        <f>CONCATENATE("UPDATE ",Database_ESP[[#This Row],[Table]]," SET ",Database_ESP[[#This Row],[Column]]," = '",Database_ESP[[#This Row],[ENG]],"' WHERE LanguageTag = '",Database_ESP[[#This Row],[Tag]],"'")</f>
        <v>UPDATE causes SET name = ' Unpaid legal leave' WHERE LanguageTag = 'permisoslegalesnoretribuidos'</v>
      </c>
      <c r="Q14" s="5" t="str">
        <f>CONCATENATE("UPDATE ",Database_ESP[[#This Row],[Table]]," SET ",Database_ESP[[#This Row],[Column]]," = '",Database_ESP[[#This Row],[FR]],"' WHERE LanguageTag = '",Database_ESP[[#This Row],[Tag]],"'")</f>
        <v>UPDATE causes SET name = 'Congé légal non rémunéré' WHERE LanguageTag = 'permisoslegalesnoretribuidos'</v>
      </c>
      <c r="R14" s="5" t="str">
        <f>CONCATENATE("UPDATE ",Database_ESP[[#This Row],[Table]]," SET ",Database_ESP[[#This Row],[Column]]," = '",Database_ESP[[#This Row],[IT]],"' WHERE LanguageTag = '",Database_ESP[[#This Row],[Tag]],"'")</f>
        <v>UPDATE causes SET name = 'Congedo obbligatorio non retribuito' WHERE LanguageTag = 'permisoslegalesnoretribuidos'</v>
      </c>
      <c r="S14" s="5" t="str">
        <f>CONCATENATE("UPDATE ",Database_ESP[[#This Row],[Table]]," SET ",Database_ESP[[#This Row],[Column]]," = '",Database_ESP[[#This Row],[SK]],"' WHERE LanguageTag = '",Database_ESP[[#This Row],[Tag]],"'")</f>
        <v>UPDATE causes SET name = 'Neplatená zákonná dovolenka' WHERE LanguageTag = 'permisoslegalesnoretribuidos'</v>
      </c>
    </row>
    <row r="15" spans="1:19" ht="60" x14ac:dyDescent="0.25">
      <c r="A15" s="2" t="s">
        <v>782</v>
      </c>
      <c r="B15" s="2" t="str">
        <f t="shared" si="4"/>
        <v>RES_database_one.causes.permisoslegalesretribuidos.description.rotext</v>
      </c>
      <c r="C15" s="2" t="str">
        <f t="shared" si="0"/>
        <v>causes</v>
      </c>
      <c r="D15" s="2" t="str">
        <f t="shared" si="1"/>
        <v>permisoslegalesretribuidos</v>
      </c>
      <c r="E15" s="2" t="str">
        <f t="shared" si="2"/>
        <v>description</v>
      </c>
      <c r="F15" s="2" t="str">
        <f t="shared" si="3"/>
        <v>El permiso retribuido es un tipo de ausencia durante la cual el trabajador seguirá siendo compensado económicamente. Los permisos remunerados están regulados en el artículo 37 del Estatuto de los Trabajadores y en los convenios colectivos.</v>
      </c>
      <c r="G15" s="1" t="s">
        <v>54</v>
      </c>
      <c r="H15" s="1" t="s">
        <v>122</v>
      </c>
      <c r="I15" s="1" t="s">
        <v>716</v>
      </c>
      <c r="J15" s="1" t="s">
        <v>526</v>
      </c>
      <c r="K15" s="1" t="s">
        <v>260</v>
      </c>
      <c r="L15" s="1" t="s">
        <v>337</v>
      </c>
      <c r="M15" s="1" t="s">
        <v>414</v>
      </c>
      <c r="N15" s="5" t="str">
        <f>CONCATENATE("UPDATE ",Database_ESP[[#This Row],[Table]]," SET ",Database_ESP[[#This Row],[Column]]," = '",Database_ESP[[#This Row],[POR.XAVI.INICIAL]],"' WHERE LanguageTag = '",Database_ESP[[#This Row],[Tag]],"'")</f>
        <v>UPDATE causes SET description = 'Exames oficiais' WHERE LanguageTag = 'permisoslegalesretribuidos'</v>
      </c>
      <c r="O15" s="5" t="str">
        <f>CONCATENATE("UPDATE ",Database_ESP[[#This Row],[Table]]," SET ",Database_ESP[[#This Row],[Column]]," = '",Database_ESP[[#This Row],[ESP]],"' WHERE LanguageTag = '",Database_ESP[[#This Row],[Tag]],"'")</f>
        <v>UPDATE causes SET description = 'El permiso retribuido es un tipo de ausencia durante la cual el trabajador seguirá siendo compensado económicamente. Los permisos remunerados están regulados en el artículo 37 del Estatuto de los Trabajadores y en los convenios colectivos.' WHERE LanguageTag = 'permisoslegalesretribuidos'</v>
      </c>
      <c r="P15" s="5" t="str">
        <f>CONCATENATE("UPDATE ",Database_ESP[[#This Row],[Table]]," SET ",Database_ESP[[#This Row],[Column]]," = '",Database_ESP[[#This Row],[ENG]],"' WHERE LanguageTag = '",Database_ESP[[#This Row],[Tag]],"'")</f>
        <v>UPDATE causes SET description = 'Paid leave is a type of absence during which the worker will continue to receive financial compensation. Paid leave is regulated in article 37 of the Workers' Statute and in collective agreements.' WHERE LanguageTag = 'permisoslegalesretribuidos'</v>
      </c>
      <c r="Q15" s="5" t="str">
        <f>CONCATENATE("UPDATE ",Database_ESP[[#This Row],[Table]]," SET ",Database_ESP[[#This Row],[Column]]," = '",Database_ESP[[#This Row],[FR]],"' WHERE LanguageTag = '",Database_ESP[[#This Row],[Tag]],"'")</f>
        <v>UPDATE causes SET description = 'Le congé payé est un type d'absence pendant lequel le travailleur continue d'être rémunéré. Les congés payés sont régis par l'article 37 du statut des travailleurs et par les conventions collectives.' WHERE LanguageTag = 'permisoslegalesretribuidos'</v>
      </c>
      <c r="R15" s="5" t="str">
        <f>CONCATENATE("UPDATE ",Database_ESP[[#This Row],[Table]]," SET ",Database_ESP[[#This Row],[Column]]," = '",Database_ESP[[#This Row],[IT]],"' WHERE LanguageTag = '",Database_ESP[[#This Row],[Tag]],"'")</f>
        <v>UPDATE causes SET description = 'Il congedo retribuito è un tipo di assenza durante la quale il lavoratore continuerà a essere compensato economicamente. I permessi retribuiti sono disciplinati dall'articolo 37 dello Statuto dei lavoratori e dai contratti collettivi.' WHERE LanguageTag = 'permisoslegalesretribuidos'</v>
      </c>
      <c r="S15" s="5" t="str">
        <f>CONCATENATE("UPDATE ",Database_ESP[[#This Row],[Table]]," SET ",Database_ESP[[#This Row],[Column]]," = '",Database_ESP[[#This Row],[SK]],"' WHERE LanguageTag = '",Database_ESP[[#This Row],[Tag]],"'")</f>
        <v>UPDATE causes SET description = 'Platené voľno je druh neprítomnosti, počas ktorej pracovník naďalej dostáva finančnú náhradu. Platené voľno je upravené v článku 37 Štatútu zamestnancov a v kolektívnych zmluvách.' WHERE LanguageTag = 'permisoslegalesretribuidos'</v>
      </c>
    </row>
    <row r="16" spans="1:19" ht="150" x14ac:dyDescent="0.25">
      <c r="A16" s="2" t="s">
        <v>783</v>
      </c>
      <c r="B16" s="2" t="str">
        <f t="shared" si="4"/>
        <v>RES_database_one.causes.permisoslegalesretribuidos.name.rotext</v>
      </c>
      <c r="C16" s="2" t="str">
        <f t="shared" si="0"/>
        <v>causes</v>
      </c>
      <c r="D16" s="2" t="str">
        <f t="shared" si="1"/>
        <v>permisoslegalesretribuidos</v>
      </c>
      <c r="E16" s="2" t="str">
        <f t="shared" si="2"/>
        <v>name</v>
      </c>
      <c r="F16" s="2" t="str">
        <f t="shared" si="3"/>
        <v>Permisos legales retribuidos</v>
      </c>
      <c r="G16" s="1" t="s">
        <v>46</v>
      </c>
      <c r="H16" s="1" t="s">
        <v>123</v>
      </c>
      <c r="I16" s="1" t="s">
        <v>717</v>
      </c>
      <c r="J16" s="1" t="s">
        <v>527</v>
      </c>
      <c r="K16" s="1" t="s">
        <v>261</v>
      </c>
      <c r="L16" s="1" t="s">
        <v>338</v>
      </c>
      <c r="M16" s="1" t="s">
        <v>415</v>
      </c>
      <c r="N16" s="5" t="str">
        <f>CONCATENATE("UPDATE ",Database_ESP[[#This Row],[Table]]," SET ",Database_ESP[[#This Row],[Column]]," = '",Database_ESP[[#This Row],[POR.XAVI.INICIAL]],"' WHERE LanguageTag = '",Database_ESP[[#This Row],[Tag]],"'")</f>
        <v>UPDATE causes SET name = 'Exames pré-natais e técnicas de preparação para o parto' WHERE LanguageTag = 'permisoslegalesretribuidos'</v>
      </c>
      <c r="O16" s="5" t="str">
        <f>CONCATENATE("UPDATE ",Database_ESP[[#This Row],[Table]]," SET ",Database_ESP[[#This Row],[Column]]," = '",Database_ESP[[#This Row],[ESP]],"' WHERE LanguageTag = '",Database_ESP[[#This Row],[Tag]],"'")</f>
        <v>UPDATE causes SET name = 'Permisos legales retribuidos' WHERE LanguageTag = 'permisoslegalesretribuidos'</v>
      </c>
      <c r="P16" s="5" t="str">
        <f>CONCATENATE("UPDATE ",Database_ESP[[#This Row],[Table]]," SET ",Database_ESP[[#This Row],[Column]]," = '",Database_ESP[[#This Row],[ENG]],"' WHERE LanguageTag = '",Database_ESP[[#This Row],[Tag]],"'")</f>
        <v>UPDATE causes SET name = 'Paid legal leave' WHERE LanguageTag = 'permisoslegalesretribuidos'</v>
      </c>
      <c r="Q16" s="5" t="str">
        <f>CONCATENATE("UPDATE ",Database_ESP[[#This Row],[Table]]," SET ",Database_ESP[[#This Row],[Column]]," = '",Database_ESP[[#This Row],[FR]],"' WHERE LanguageTag = '",Database_ESP[[#This Row],[Tag]],"'")</f>
        <v>UPDATE causes SET name = 'Congé légal payé' WHERE LanguageTag = 'permisoslegalesretribuidos'</v>
      </c>
      <c r="R16" s="5" t="str">
        <f>CONCATENATE("UPDATE ",Database_ESP[[#This Row],[Table]]," SET ",Database_ESP[[#This Row],[Column]]," = '",Database_ESP[[#This Row],[IT]],"' WHERE LanguageTag = '",Database_ESP[[#This Row],[Tag]],"'")</f>
        <v>UPDATE causes SET name = 'Congedo legale retribuito' WHERE LanguageTag = 'permisoslegalesretribuidos'</v>
      </c>
      <c r="S16" s="5" t="str">
        <f>CONCATENATE("UPDATE ",Database_ESP[[#This Row],[Table]]," SET ",Database_ESP[[#This Row],[Column]]," = '",Database_ESP[[#This Row],[SK]],"' WHERE LanguageTag = '",Database_ESP[[#This Row],[Tag]],"'")</f>
        <v>UPDATE causes SET name = 'Platená zákonná dovolenka' WHERE LanguageTag = 'permisoslegalesretribuidos'</v>
      </c>
    </row>
    <row r="17" spans="1:19" ht="150" x14ac:dyDescent="0.25">
      <c r="A17" s="2" t="s">
        <v>784</v>
      </c>
      <c r="B17" s="2" t="str">
        <f t="shared" si="4"/>
        <v>RES_database_one.causes.teletrabajo.description.rotext</v>
      </c>
      <c r="C17" s="2" t="str">
        <f t="shared" si="0"/>
        <v>causes</v>
      </c>
      <c r="D17" s="2" t="str">
        <f t="shared" si="1"/>
        <v>teletrabajo</v>
      </c>
      <c r="E17" s="2" t="str">
        <f t="shared" si="2"/>
        <v>description</v>
      </c>
      <c r="F17" s="2" t="str">
        <f t="shared" si="3"/>
        <v>Aquel tiempo en que la prestación de la actividad laboral se realice de manera preponderante en el domicilio del trabajador o en el lugar libremente elegido por este, de modo alternativo a su desarrollo presencial en el centro de trabajo de la empresa.</v>
      </c>
      <c r="G17" s="1" t="s">
        <v>888</v>
      </c>
      <c r="H17" s="1" t="s">
        <v>123</v>
      </c>
      <c r="I17" s="1" t="s">
        <v>718</v>
      </c>
      <c r="J17" s="1" t="s">
        <v>528</v>
      </c>
      <c r="K17" s="1" t="s">
        <v>631</v>
      </c>
      <c r="L17" s="1" t="s">
        <v>661</v>
      </c>
      <c r="M17" s="1" t="s">
        <v>599</v>
      </c>
      <c r="N17" s="5" t="str">
        <f>CONCATENATE("UPDATE ",Database_ESP[[#This Row],[Table]]," SET ",Database_ESP[[#This Row],[Column]]," = '",Database_ESP[[#This Row],[POR.XAVI.INICIAL]],"' WHERE LanguageTag = '",Database_ESP[[#This Row],[Tag]],"'")</f>
        <v>UPDATE causes SET description = 'Exames pré-natais e técnicas de preparação para o parto' WHERE LanguageTag = 'teletrabajo'</v>
      </c>
      <c r="O17" s="5" t="str">
        <f>CONCATENATE("UPDATE ",Database_ESP[[#This Row],[Table]]," SET ",Database_ESP[[#This Row],[Column]]," = '",Database_ESP[[#This Row],[ESP]],"' WHERE LanguageTag = '",Database_ESP[[#This Row],[Tag]],"'")</f>
        <v>UPDATE causes SET description = 'Aquel tiempo en que la prestación de la actividad laboral se realice de manera preponderante en el domicilio del trabajador o en el lugar libremente elegido por este, de modo alternativo a su desarrollo presencial en el centro de trabajo de la empresa.' WHERE LanguageTag = 'teletrabajo'</v>
      </c>
      <c r="P17" s="5" t="str">
        <f>CONCATENATE("UPDATE ",Database_ESP[[#This Row],[Table]]," SET ",Database_ESP[[#This Row],[Column]]," = '",Database_ESP[[#This Row],[ENG]],"' WHERE LanguageTag = '",Database_ESP[[#This Row],[Tag]],"'")</f>
        <v>UPDATE causes SET description = 'The time during which the work activity is carried out mainly at the employee's home or at a place freely chosen by the employee, as an alternative to being carried out in person at the company's work center.' WHERE LanguageTag = 'teletrabajo'</v>
      </c>
      <c r="Q17" s="5" t="str">
        <f>CONCATENATE("UPDATE ",Database_ESP[[#This Row],[Table]]," SET ",Database_ESP[[#This Row],[Column]]," = '",Database_ESP[[#This Row],[FR]],"' WHERE LanguageTag = '",Database_ESP[[#This Row],[Tag]],"'")</f>
        <v>UPDATE causes SET description = 'Le temps pendant lequel le travail est effectué principalement au domicile du travailleur ou à un endroit librement choisi par le travailleur, au lieu d'être effectué en personne sur le lieu de travail de l'entreprise.' WHERE LanguageTag = 'teletrabajo'</v>
      </c>
      <c r="R17" s="5" t="str">
        <f>CONCATENATE("UPDATE ",Database_ESP[[#This Row],[Table]]," SET ",Database_ESP[[#This Row],[Column]]," = '",Database_ESP[[#This Row],[IT]],"' WHERE LanguageTag = '",Database_ESP[[#This Row],[Tag]],"'")</f>
        <v>UPDATE causes SET description = 'Il tempo durante il quale il lavoro viene svolto prevalentemente al domicilio del lavoratore o in un luogo da lui liberamente scelto, in alternativa allo svolgimento di persona sul luogo di lavoro dell'azienda.' WHERE LanguageTag = 'teletrabajo'</v>
      </c>
      <c r="S17" s="5" t="str">
        <f>CONCATENATE("UPDATE ",Database_ESP[[#This Row],[Table]]," SET ",Database_ESP[[#This Row],[Column]]," = '",Database_ESP[[#This Row],[SK]],"' WHERE LanguageTag = '",Database_ESP[[#This Row],[Tag]],"'")</f>
        <v>UPDATE causes SET description = 'Čas, počas ktorého sa práca vykonáva najmä doma alebo na mieste, ktoré si pracovník slobodne zvolí, ako alternatíva k osobnému výkonu práce na pracovisku spoločnosti.' WHERE LanguageTag = 'teletrabajo'</v>
      </c>
    </row>
    <row r="18" spans="1:19" ht="409.5" x14ac:dyDescent="0.25">
      <c r="A18" s="2" t="s">
        <v>785</v>
      </c>
      <c r="B18" s="2" t="str">
        <f t="shared" si="4"/>
        <v>RES_database_one.causes.teletrabajo.name.rotext</v>
      </c>
      <c r="C18" s="2" t="str">
        <f t="shared" si="0"/>
        <v>causes</v>
      </c>
      <c r="D18" s="2" t="str">
        <f t="shared" si="1"/>
        <v>teletrabajo</v>
      </c>
      <c r="E18" s="2" t="str">
        <f t="shared" si="2"/>
        <v>name</v>
      </c>
      <c r="F18" s="2" t="str">
        <f t="shared" si="3"/>
        <v>Teletrabajo</v>
      </c>
      <c r="G18" s="1" t="s">
        <v>889</v>
      </c>
      <c r="H18" s="1" t="s">
        <v>189</v>
      </c>
      <c r="I18" s="1" t="s">
        <v>719</v>
      </c>
      <c r="J18" s="1" t="s">
        <v>529</v>
      </c>
      <c r="K18" s="1" t="s">
        <v>632</v>
      </c>
      <c r="L18" s="1" t="s">
        <v>662</v>
      </c>
      <c r="M18" s="1" t="s">
        <v>529</v>
      </c>
      <c r="N18" s="5" t="str">
        <f>CONCATENATE("UPDATE ",Database_ESP[[#This Row],[Table]]," SET ",Database_ESP[[#This Row],[Column]]," = '",Database_ESP[[#This Row],[POR.XAVI.INICIAL]],"' WHERE LanguageTag = '",Database_ESP[[#This Row],[Tag]],"'")</f>
        <v>UPDATE causes SET name = 'Aqueles que excedem as horas normais do dia de trabalho, mas cuja prestação foi acordada e convencionada num contrato a tempo parcial. Podem ser de 2 tipos: -Horas acordadas: Contratos a tempo parcial com uma jornada de trabalho não inferior a dez horas por semana, numa base anual. Horas voluntárias: Contratos a tempo parcial de duração indeterminada com um horário de trabalho não inferior a 10 horas por semana numa base anual.' WHERE LanguageTag = 'teletrabajo'</v>
      </c>
      <c r="O18" s="5" t="str">
        <f>CONCATENATE("UPDATE ",Database_ESP[[#This Row],[Table]]," SET ",Database_ESP[[#This Row],[Column]]," = '",Database_ESP[[#This Row],[ESP]],"' WHERE LanguageTag = '",Database_ESP[[#This Row],[Tag]],"'")</f>
        <v>UPDATE causes SET name = 'Teletrabajo' WHERE LanguageTag = 'teletrabajo'</v>
      </c>
      <c r="P18" s="5" t="str">
        <f>CONCATENATE("UPDATE ",Database_ESP[[#This Row],[Table]]," SET ",Database_ESP[[#This Row],[Column]]," = '",Database_ESP[[#This Row],[ENG]],"' WHERE LanguageTag = '",Database_ESP[[#This Row],[Tag]],"'")</f>
        <v>UPDATE causes SET name = 'Telework' WHERE LanguageTag = 'teletrabajo'</v>
      </c>
      <c r="Q18" s="5" t="str">
        <f>CONCATENATE("UPDATE ",Database_ESP[[#This Row],[Table]]," SET ",Database_ESP[[#This Row],[Column]]," = '",Database_ESP[[#This Row],[FR]],"' WHERE LanguageTag = '",Database_ESP[[#This Row],[Tag]],"'")</f>
        <v>UPDATE causes SET name = 'Télétravail' WHERE LanguageTag = 'teletrabajo'</v>
      </c>
      <c r="R18" s="5" t="str">
        <f>CONCATENATE("UPDATE ",Database_ESP[[#This Row],[Table]]," SET ",Database_ESP[[#This Row],[Column]]," = '",Database_ESP[[#This Row],[IT]],"' WHERE LanguageTag = '",Database_ESP[[#This Row],[Tag]],"'")</f>
        <v>UPDATE causes SET name = 'Telelavoro' WHERE LanguageTag = 'teletrabajo'</v>
      </c>
      <c r="S18" s="5" t="str">
        <f>CONCATENATE("UPDATE ",Database_ESP[[#This Row],[Table]]," SET ",Database_ESP[[#This Row],[Column]]," = '",Database_ESP[[#This Row],[SK]],"' WHERE LanguageTag = '",Database_ESP[[#This Row],[Tag]],"'")</f>
        <v>UPDATE causes SET name = 'Telework' WHERE LanguageTag = 'teletrabajo'</v>
      </c>
    </row>
    <row r="19" spans="1:19" ht="45" x14ac:dyDescent="0.25">
      <c r="A19" s="2" t="s">
        <v>786</v>
      </c>
      <c r="B19" s="2" t="str">
        <f t="shared" si="4"/>
        <v>RES_database_one.causes.tiempodeexcesonojustificado.description.rotext</v>
      </c>
      <c r="C19" s="2" t="str">
        <f t="shared" si="0"/>
        <v>causes</v>
      </c>
      <c r="D19" s="2" t="str">
        <f t="shared" si="1"/>
        <v>tiempodeexcesonojustificado</v>
      </c>
      <c r="E19" s="2" t="str">
        <f t="shared" si="2"/>
        <v>description</v>
      </c>
      <c r="F19" s="2" t="str">
        <f t="shared" si="3"/>
        <v>Son tiempos no autorizados por la empresa o que no se quieren dar ningún tratamiento ya sea positivo o negativo.</v>
      </c>
      <c r="G19" s="1" t="s">
        <v>890</v>
      </c>
      <c r="H19" s="1" t="s">
        <v>119</v>
      </c>
      <c r="I19" s="1" t="s">
        <v>720</v>
      </c>
      <c r="J19" s="1" t="s">
        <v>530</v>
      </c>
      <c r="K19" s="1" t="s">
        <v>633</v>
      </c>
      <c r="L19" s="1" t="s">
        <v>663</v>
      </c>
      <c r="M19" s="1" t="s">
        <v>600</v>
      </c>
      <c r="N19" s="5" t="str">
        <f>CONCATENATE("UPDATE ",Database_ESP[[#This Row],[Table]]," SET ",Database_ESP[[#This Row],[Column]]," = '",Database_ESP[[#This Row],[POR.XAVI.INICIAL]],"' WHERE LanguageTag = '",Database_ESP[[#This Row],[Tag]],"'")</f>
        <v>UPDATE causes SET description = 'Horas suplementares ' WHERE LanguageTag = 'tiempodeexcesonojustificado'</v>
      </c>
      <c r="O19" s="5" t="str">
        <f>CONCATENATE("UPDATE ",Database_ESP[[#This Row],[Table]]," SET ",Database_ESP[[#This Row],[Column]]," = '",Database_ESP[[#This Row],[ESP]],"' WHERE LanguageTag = '",Database_ESP[[#This Row],[Tag]],"'")</f>
        <v>UPDATE causes SET description = 'Son tiempos no autorizados por la empresa o que no se quieren dar ningún tratamiento ya sea positivo o negativo.' WHERE LanguageTag = 'tiempodeexcesonojustificado'</v>
      </c>
      <c r="P19" s="5" t="str">
        <f>CONCATENATE("UPDATE ",Database_ESP[[#This Row],[Table]]," SET ",Database_ESP[[#This Row],[Column]]," = '",Database_ESP[[#This Row],[ENG]],"' WHERE LanguageTag = '",Database_ESP[[#This Row],[Tag]],"'")</f>
        <v>UPDATE causes SET description = 'These are times that are not authorized by the company or that do not want to be treated either positively or negatively.' WHERE LanguageTag = 'tiempodeexcesonojustificado'</v>
      </c>
      <c r="Q19" s="5" t="str">
        <f>CONCATENATE("UPDATE ",Database_ESP[[#This Row],[Table]]," SET ",Database_ESP[[#This Row],[Column]]," = '",Database_ESP[[#This Row],[FR]],"' WHERE LanguageTag = '",Database_ESP[[#This Row],[Tag]],"'")</f>
        <v>UPDATE causes SET description = 'Il s'agit de moments qui ne sont pas autorisés par l'entreprise ou qui ne veulent pas être traités de manière positive ou négative.' WHERE LanguageTag = 'tiempodeexcesonojustificado'</v>
      </c>
      <c r="R19" s="5" t="str">
        <f>CONCATENATE("UPDATE ",Database_ESP[[#This Row],[Table]]," SET ",Database_ESP[[#This Row],[Column]]," = '",Database_ESP[[#This Row],[IT]],"' WHERE LanguageTag = '",Database_ESP[[#This Row],[Tag]],"'")</f>
        <v>UPDATE causes SET description = 'Si tratta di momenti non autorizzati dall'azienda o che non vogliono essere trattati né positivamente né negativamente.' WHERE LanguageTag = 'tiempodeexcesonojustificado'</v>
      </c>
      <c r="S19" s="5" t="str">
        <f>CONCATENATE("UPDATE ",Database_ESP[[#This Row],[Table]]," SET ",Database_ESP[[#This Row],[Column]]," = '",Database_ESP[[#This Row],[SK]],"' WHERE LanguageTag = '",Database_ESP[[#This Row],[Tag]],"'")</f>
        <v>UPDATE causes SET description = 'Ide o časy, ktoré spoločnosť nepovoľuje alebo ktoré nechcú byť považované za pozitívne alebo negatívne.' WHERE LanguageTag = 'tiempodeexcesonojustificado'</v>
      </c>
    </row>
    <row r="20" spans="1:19" ht="409.5" x14ac:dyDescent="0.25">
      <c r="A20" s="2" t="s">
        <v>787</v>
      </c>
      <c r="B20" s="2" t="str">
        <f t="shared" si="4"/>
        <v>RES_database_one.causes.tiempodeexcesonojustificado.name.rotext</v>
      </c>
      <c r="C20" s="2" t="str">
        <f t="shared" si="0"/>
        <v>causes</v>
      </c>
      <c r="D20" s="2" t="str">
        <f t="shared" si="1"/>
        <v>tiempodeexcesonojustificado</v>
      </c>
      <c r="E20" s="2" t="str">
        <f t="shared" si="2"/>
        <v>name</v>
      </c>
      <c r="F20" s="2" t="str">
        <f t="shared" si="3"/>
        <v>Tiempo de exceso no justificado</v>
      </c>
      <c r="G20" s="1" t="s">
        <v>891</v>
      </c>
      <c r="H20" s="1" t="s">
        <v>190</v>
      </c>
      <c r="I20" s="1" t="s">
        <v>721</v>
      </c>
      <c r="J20" s="1" t="s">
        <v>531</v>
      </c>
      <c r="K20" s="1" t="s">
        <v>634</v>
      </c>
      <c r="L20" s="1" t="s">
        <v>664</v>
      </c>
      <c r="M20" s="1" t="s">
        <v>601</v>
      </c>
      <c r="N20" s="5" t="str">
        <f>CONCATENATE("UPDATE ",Database_ESP[[#This Row],[Table]]," SET ",Database_ESP[[#This Row],[Column]]," = '",Database_ESP[[#This Row],[POR.XAVI.INICIAL]],"' WHERE LanguageTag = '",Database_ESP[[#This Row],[Tag]],"'")</f>
        <v>UPDATE causes SET name = 'Horas trabalhadas para além da duração máxima do dia de trabalho normal estabelecida por lei ou por acordo.  Este tipo de horas pode ser efectuado, no máximo, 80 horas por ano.' WHERE LanguageTag = 'tiempodeexcesonojustificado'</v>
      </c>
      <c r="O20" s="5" t="str">
        <f>CONCATENATE("UPDATE ",Database_ESP[[#This Row],[Table]]," SET ",Database_ESP[[#This Row],[Column]]," = '",Database_ESP[[#This Row],[ESP]],"' WHERE LanguageTag = '",Database_ESP[[#This Row],[Tag]],"'")</f>
        <v>UPDATE causes SET name = 'Tiempo de exceso no justificado' WHERE LanguageTag = 'tiempodeexcesonojustificado'</v>
      </c>
      <c r="P20" s="5" t="str">
        <f>CONCATENATE("UPDATE ",Database_ESP[[#This Row],[Table]]," SET ",Database_ESP[[#This Row],[Column]]," = '",Database_ESP[[#This Row],[ENG]],"' WHERE LanguageTag = '",Database_ESP[[#This Row],[Tag]],"'")</f>
        <v>UPDATE causes SET name = 'Unexcused excess time' WHERE LanguageTag = 'tiempodeexcesonojustificado'</v>
      </c>
      <c r="Q20" s="5" t="str">
        <f>CONCATENATE("UPDATE ",Database_ESP[[#This Row],[Table]]," SET ",Database_ESP[[#This Row],[Column]]," = '",Database_ESP[[#This Row],[FR]],"' WHERE LanguageTag = '",Database_ESP[[#This Row],[Tag]],"'")</f>
        <v>UPDATE causes SET name = 'Temps excédentaire non excusé' WHERE LanguageTag = 'tiempodeexcesonojustificado'</v>
      </c>
      <c r="R20" s="5" t="str">
        <f>CONCATENATE("UPDATE ",Database_ESP[[#This Row],[Table]]," SET ",Database_ESP[[#This Row],[Column]]," = '",Database_ESP[[#This Row],[IT]],"' WHERE LanguageTag = '",Database_ESP[[#This Row],[Tag]],"'")</f>
        <v>UPDATE causes SET name = 'Tempo in eccesso non giustificato' WHERE LanguageTag = 'tiempodeexcesonojustificado'</v>
      </c>
      <c r="S20" s="5" t="str">
        <f>CONCATENATE("UPDATE ",Database_ESP[[#This Row],[Table]]," SET ",Database_ESP[[#This Row],[Column]]," = '",Database_ESP[[#This Row],[SK]],"' WHERE LanguageTag = '",Database_ESP[[#This Row],[Tag]],"'")</f>
        <v>UPDATE causes SET name = 'Neospravedlnený nadčas' WHERE LanguageTag = 'tiempodeexcesonojustificado'</v>
      </c>
    </row>
    <row r="21" spans="1:19" ht="60" x14ac:dyDescent="0.25">
      <c r="A21" s="2" t="s">
        <v>788</v>
      </c>
      <c r="B21" s="2" t="str">
        <f t="shared" si="4"/>
        <v>RES_database_one.causes.tiempoporrecuperar.description.rotext</v>
      </c>
      <c r="C21" s="2" t="str">
        <f t="shared" si="0"/>
        <v>causes</v>
      </c>
      <c r="D21" s="2" t="str">
        <f t="shared" si="1"/>
        <v>tiempoporrecuperar</v>
      </c>
      <c r="E21" s="2" t="str">
        <f t="shared" si="2"/>
        <v>description</v>
      </c>
      <c r="F21" s="2" t="str">
        <f t="shared" si="3"/>
        <v>El tiempo planificado que no se ha trabajado y debe recuperarse en otro momento.</v>
      </c>
      <c r="G21" s="1" t="s">
        <v>53</v>
      </c>
      <c r="H21" s="1" t="s">
        <v>138</v>
      </c>
      <c r="I21" s="1" t="s">
        <v>722</v>
      </c>
      <c r="J21" s="1" t="s">
        <v>215</v>
      </c>
      <c r="K21" s="1" t="s">
        <v>256</v>
      </c>
      <c r="L21" s="1" t="s">
        <v>333</v>
      </c>
      <c r="M21" s="1" t="s">
        <v>410</v>
      </c>
      <c r="N21" s="5" t="str">
        <f>CONCATENATE("UPDATE ",Database_ESP[[#This Row],[Table]]," SET ",Database_ESP[[#This Row],[Column]]," = '",Database_ESP[[#This Row],[POR.XAVI.INICIAL]],"' WHERE LanguageTag = '",Database_ESP[[#This Row],[Tag]],"'")</f>
        <v>UPDATE causes SET description = 'Horas extraordinárias ' WHERE LanguageTag = 'tiempoporrecuperar'</v>
      </c>
      <c r="O21" s="5" t="str">
        <f>CONCATENATE("UPDATE ",Database_ESP[[#This Row],[Table]]," SET ",Database_ESP[[#This Row],[Column]]," = '",Database_ESP[[#This Row],[ESP]],"' WHERE LanguageTag = '",Database_ESP[[#This Row],[Tag]],"'")</f>
        <v>UPDATE causes SET description = 'El tiempo planificado que no se ha trabajado y debe recuperarse en otro momento.' WHERE LanguageTag = 'tiempoporrecuperar'</v>
      </c>
      <c r="P21" s="5" t="str">
        <f>CONCATENATE("UPDATE ",Database_ESP[[#This Row],[Table]]," SET ",Database_ESP[[#This Row],[Column]]," = '",Database_ESP[[#This Row],[ENG]],"' WHERE LanguageTag = '",Database_ESP[[#This Row],[Tag]],"'")</f>
        <v>UPDATE causes SET description = 'Planned time that has not been worked and must be made up at another time.' WHERE LanguageTag = 'tiempoporrecuperar'</v>
      </c>
      <c r="Q21" s="5" t="str">
        <f>CONCATENATE("UPDATE ",Database_ESP[[#This Row],[Table]]," SET ",Database_ESP[[#This Row],[Column]]," = '",Database_ESP[[#This Row],[FR]],"' WHERE LanguageTag = '",Database_ESP[[#This Row],[Tag]],"'")</f>
        <v>UPDATE causes SET description = 'Temps planifié qui n'a pas été travaillé et qui doit être rattrapé à un autre moment.' WHERE LanguageTag = 'tiempoporrecuperar'</v>
      </c>
      <c r="R21" s="5" t="str">
        <f>CONCATENATE("UPDATE ",Database_ESP[[#This Row],[Table]]," SET ",Database_ESP[[#This Row],[Column]]," = '",Database_ESP[[#This Row],[IT]],"' WHERE LanguageTag = '",Database_ESP[[#This Row],[Tag]],"'")</f>
        <v>UPDATE causes SET description = 'Tempo pianificato che non è stato lavorato e che deve essere recuperato in un altro momento.' WHERE LanguageTag = 'tiempoporrecuperar'</v>
      </c>
      <c r="S21" s="5" t="str">
        <f>CONCATENATE("UPDATE ",Database_ESP[[#This Row],[Table]]," SET ",Database_ESP[[#This Row],[Column]]," = '",Database_ESP[[#This Row],[SK]],"' WHERE LanguageTag = '",Database_ESP[[#This Row],[Tag]],"'")</f>
        <v>UPDATE causes SET description = 'Plánovaný čas, ktorý nebol odpracovaný a musí byť nahradený v inom čase.' WHERE LanguageTag = 'tiempoporrecuperar'</v>
      </c>
    </row>
    <row r="22" spans="1:19" ht="165" x14ac:dyDescent="0.25">
      <c r="A22" s="2" t="s">
        <v>789</v>
      </c>
      <c r="B22" s="2" t="str">
        <f t="shared" si="4"/>
        <v>RES_database_one.causes.tiempoporrecuperar.name.rotext</v>
      </c>
      <c r="C22" s="2" t="str">
        <f t="shared" si="0"/>
        <v>causes</v>
      </c>
      <c r="D22" s="2" t="str">
        <f t="shared" si="1"/>
        <v>tiempoporrecuperar</v>
      </c>
      <c r="E22" s="2" t="str">
        <f t="shared" si="2"/>
        <v>name</v>
      </c>
      <c r="F22" s="2" t="str">
        <f t="shared" si="3"/>
        <v>Tiempo por recuperar</v>
      </c>
      <c r="G22" s="1" t="s">
        <v>892</v>
      </c>
      <c r="H22" s="1" t="s">
        <v>191</v>
      </c>
      <c r="I22" s="1" t="s">
        <v>723</v>
      </c>
      <c r="J22" s="1" t="s">
        <v>532</v>
      </c>
      <c r="K22" s="1" t="s">
        <v>635</v>
      </c>
      <c r="L22" s="1" t="s">
        <v>665</v>
      </c>
      <c r="M22" s="1" t="s">
        <v>602</v>
      </c>
      <c r="N22" s="5" t="str">
        <f>CONCATENATE("UPDATE ",Database_ESP[[#This Row],[Table]]," SET ",Database_ESP[[#This Row],[Column]]," = '",Database_ESP[[#This Row],[POR.XAVI.INICIAL]],"' WHERE LanguageTag = '",Database_ESP[[#This Row],[Tag]],"'")</f>
        <v>UPDATE causes SET name = 'Horas prestadas dentro do horário de trabalho do trabalhador.' WHERE LanguageTag = 'tiempoporrecuperar'</v>
      </c>
      <c r="O22" s="5" t="str">
        <f>CONCATENATE("UPDATE ",Database_ESP[[#This Row],[Table]]," SET ",Database_ESP[[#This Row],[Column]]," = '",Database_ESP[[#This Row],[ESP]],"' WHERE LanguageTag = '",Database_ESP[[#This Row],[Tag]],"'")</f>
        <v>UPDATE causes SET name = 'Tiempo por recuperar' WHERE LanguageTag = 'tiempoporrecuperar'</v>
      </c>
      <c r="P22" s="5" t="str">
        <f>CONCATENATE("UPDATE ",Database_ESP[[#This Row],[Table]]," SET ",Database_ESP[[#This Row],[Column]]," = '",Database_ESP[[#This Row],[ENG]],"' WHERE LanguageTag = '",Database_ESP[[#This Row],[Tag]],"'")</f>
        <v>UPDATE causes SET name = 'Time to recover' WHERE LanguageTag = 'tiempoporrecuperar'</v>
      </c>
      <c r="Q22" s="5" t="str">
        <f>CONCATENATE("UPDATE ",Database_ESP[[#This Row],[Table]]," SET ",Database_ESP[[#This Row],[Column]]," = '",Database_ESP[[#This Row],[FR]],"' WHERE LanguageTag = '",Database_ESP[[#This Row],[Tag]],"'")</f>
        <v>UPDATE causes SET name = 'Temps de récupération' WHERE LanguageTag = 'tiempoporrecuperar'</v>
      </c>
      <c r="R22" s="5" t="str">
        <f>CONCATENATE("UPDATE ",Database_ESP[[#This Row],[Table]]," SET ",Database_ESP[[#This Row],[Column]]," = '",Database_ESP[[#This Row],[IT]],"' WHERE LanguageTag = '",Database_ESP[[#This Row],[Tag]],"'")</f>
        <v>UPDATE causes SET name = 'Tempo di recupero' WHERE LanguageTag = 'tiempoporrecuperar'</v>
      </c>
      <c r="S22" s="5" t="str">
        <f>CONCATENATE("UPDATE ",Database_ESP[[#This Row],[Table]]," SET ",Database_ESP[[#This Row],[Column]]," = '",Database_ESP[[#This Row],[SK]],"' WHERE LanguageTag = '",Database_ESP[[#This Row],[Tag]],"'")</f>
        <v>UPDATE causes SET name = 'Čas na zotavenie' WHERE LanguageTag = 'tiempoporrecuperar'</v>
      </c>
    </row>
    <row r="23" spans="1:19" ht="45" x14ac:dyDescent="0.25">
      <c r="A23" s="2" t="s">
        <v>790</v>
      </c>
      <c r="B23" s="2" t="str">
        <f t="shared" si="4"/>
        <v>RES_database_one.causes.tiemporecuperado.description.rotext</v>
      </c>
      <c r="C23" s="2" t="str">
        <f t="shared" si="0"/>
        <v>causes</v>
      </c>
      <c r="D23" s="2" t="str">
        <f t="shared" si="1"/>
        <v>tiemporecuperado</v>
      </c>
      <c r="E23" s="2" t="str">
        <f t="shared" si="2"/>
        <v>description</v>
      </c>
      <c r="F23" s="2" t="str">
        <f t="shared" si="3"/>
        <v>Horas positivas  que se realizan para compensar horas negativas que puedan realizarse.</v>
      </c>
      <c r="G23" s="1" t="s">
        <v>893</v>
      </c>
      <c r="H23" s="1" t="s">
        <v>9</v>
      </c>
      <c r="I23" s="1" t="s">
        <v>724</v>
      </c>
      <c r="J23" s="1" t="s">
        <v>533</v>
      </c>
      <c r="K23" s="1" t="s">
        <v>636</v>
      </c>
      <c r="L23" s="1" t="s">
        <v>666</v>
      </c>
      <c r="M23" s="1" t="s">
        <v>603</v>
      </c>
      <c r="N23" s="5" t="str">
        <f>CONCATENATE("UPDATE ",Database_ESP[[#This Row],[Table]]," SET ",Database_ESP[[#This Row],[Column]]," = '",Database_ESP[[#This Row],[POR.XAVI.INICIAL]],"' WHERE LanguageTag = '",Database_ESP[[#This Row],[Tag]],"'")</f>
        <v>UPDATE causes SET description = 'Horas normais' WHERE LanguageTag = 'tiemporecuperado'</v>
      </c>
      <c r="O23" s="5" t="str">
        <f>CONCATENATE("UPDATE ",Database_ESP[[#This Row],[Table]]," SET ",Database_ESP[[#This Row],[Column]]," = '",Database_ESP[[#This Row],[ESP]],"' WHERE LanguageTag = '",Database_ESP[[#This Row],[Tag]],"'")</f>
        <v>UPDATE causes SET description = 'Horas positivas  que se realizan para compensar horas negativas que puedan realizarse.' WHERE LanguageTag = 'tiemporecuperado'</v>
      </c>
      <c r="P23" s="5" t="str">
        <f>CONCATENATE("UPDATE ",Database_ESP[[#This Row],[Table]]," SET ",Database_ESP[[#This Row],[Column]]," = '",Database_ESP[[#This Row],[ENG]],"' WHERE LanguageTag = '",Database_ESP[[#This Row],[Tag]],"'")</f>
        <v>UPDATE causes SET description = 'Positive hours performed to compensate for negative hours that may be performed.' WHERE LanguageTag = 'tiemporecuperado'</v>
      </c>
      <c r="Q23" s="5" t="str">
        <f>CONCATENATE("UPDATE ",Database_ESP[[#This Row],[Table]]," SET ",Database_ESP[[#This Row],[Column]]," = '",Database_ESP[[#This Row],[FR]],"' WHERE LanguageTag = '",Database_ESP[[#This Row],[Tag]],"'")</f>
        <v>UPDATE causes SET description = 'Les heures positives qui sont effectuées pour compenser les heures négatives qui peuvent être effectuées.' WHERE LanguageTag = 'tiemporecuperado'</v>
      </c>
      <c r="R23" s="5" t="str">
        <f>CONCATENATE("UPDATE ",Database_ESP[[#This Row],[Table]]," SET ",Database_ESP[[#This Row],[Column]]," = '",Database_ESP[[#This Row],[IT]],"' WHERE LanguageTag = '",Database_ESP[[#This Row],[Tag]],"'")</f>
        <v>UPDATE causes SET description = 'Ore positive che vengono effettuate per compensare le ore negative che possono essere effettuate.' WHERE LanguageTag = 'tiemporecuperado'</v>
      </c>
      <c r="S23" s="5" t="str">
        <f>CONCATENATE("UPDATE ",Database_ESP[[#This Row],[Table]]," SET ",Database_ESP[[#This Row],[Column]]," = '",Database_ESP[[#This Row],[SK]],"' WHERE LanguageTag = '",Database_ESP[[#This Row],[Tag]],"'")</f>
        <v>UPDATE causes SET description = 'Kladné hodiny, ktoré sa odpracujú na kompenzáciu záporných hodín, ktoré sa môžu odpracovať.' WHERE LanguageTag = 'tiemporecuperado'</v>
      </c>
    </row>
    <row r="24" spans="1:19" ht="195" x14ac:dyDescent="0.25">
      <c r="A24" s="2" t="s">
        <v>791</v>
      </c>
      <c r="B24" s="2" t="str">
        <f t="shared" si="4"/>
        <v>RES_database_one.causes.tiemporecuperado.name.rotext</v>
      </c>
      <c r="C24" s="2" t="str">
        <f t="shared" si="0"/>
        <v>causes</v>
      </c>
      <c r="D24" s="2" t="str">
        <f t="shared" si="1"/>
        <v>tiemporecuperado</v>
      </c>
      <c r="E24" s="2" t="str">
        <f t="shared" si="2"/>
        <v>name</v>
      </c>
      <c r="F24" s="2" t="str">
        <f t="shared" si="3"/>
        <v xml:space="preserve">Tiempo recuperado </v>
      </c>
      <c r="G24" s="1" t="s">
        <v>894</v>
      </c>
      <c r="H24" s="1" t="s">
        <v>139</v>
      </c>
      <c r="I24" s="1" t="s">
        <v>725</v>
      </c>
      <c r="J24" s="1" t="s">
        <v>534</v>
      </c>
      <c r="K24" s="1" t="s">
        <v>637</v>
      </c>
      <c r="L24" s="1" t="s">
        <v>667</v>
      </c>
      <c r="M24" s="1" t="s">
        <v>604</v>
      </c>
      <c r="N24" s="5" t="str">
        <f>CONCATENATE("UPDATE ",Database_ESP[[#This Row],[Table]]," SET ",Database_ESP[[#This Row],[Column]]," = '",Database_ESP[[#This Row],[POR.XAVI.INICIAL]],"' WHERE LanguageTag = '",Database_ESP[[#This Row],[Tag]],"'")</f>
        <v>UPDATE causes SET name = 'Tempo previsto que não foi trabalhado e que deve ser compensado noutra altura.' WHERE LanguageTag = 'tiemporecuperado'</v>
      </c>
      <c r="O24" s="5" t="str">
        <f>CONCATENATE("UPDATE ",Database_ESP[[#This Row],[Table]]," SET ",Database_ESP[[#This Row],[Column]]," = '",Database_ESP[[#This Row],[ESP]],"' WHERE LanguageTag = '",Database_ESP[[#This Row],[Tag]],"'")</f>
        <v>UPDATE causes SET name = 'Tiempo recuperado ' WHERE LanguageTag = 'tiemporecuperado'</v>
      </c>
      <c r="P24" s="5" t="str">
        <f>CONCATENATE("UPDATE ",Database_ESP[[#This Row],[Table]]," SET ",Database_ESP[[#This Row],[Column]]," = '",Database_ESP[[#This Row],[ENG]],"' WHERE LanguageTag = '",Database_ESP[[#This Row],[Tag]],"'")</f>
        <v>UPDATE causes SET name = 'Time recovered' WHERE LanguageTag = 'tiemporecuperado'</v>
      </c>
      <c r="Q24" s="5" t="str">
        <f>CONCATENATE("UPDATE ",Database_ESP[[#This Row],[Table]]," SET ",Database_ESP[[#This Row],[Column]]," = '",Database_ESP[[#This Row],[FR]],"' WHERE LanguageTag = '",Database_ESP[[#This Row],[Tag]],"'")</f>
        <v>UPDATE causes SET name = 'Temps récupéré' WHERE LanguageTag = 'tiemporecuperado'</v>
      </c>
      <c r="R24" s="5" t="str">
        <f>CONCATENATE("UPDATE ",Database_ESP[[#This Row],[Table]]," SET ",Database_ESP[[#This Row],[Column]]," = '",Database_ESP[[#This Row],[IT]],"' WHERE LanguageTag = '",Database_ESP[[#This Row],[Tag]],"'")</f>
        <v>UPDATE causes SET name = 'Tempo recuperato' WHERE LanguageTag = 'tiemporecuperado'</v>
      </c>
      <c r="S24" s="5" t="str">
        <f>CONCATENATE("UPDATE ",Database_ESP[[#This Row],[Table]]," SET ",Database_ESP[[#This Row],[Column]]," = '",Database_ESP[[#This Row],[SK]],"' WHERE LanguageTag = '",Database_ESP[[#This Row],[Tag]],"'")</f>
        <v>UPDATE causes SET name = 'Obnovený čas' WHERE LanguageTag = 'tiemporecuperado'</v>
      </c>
    </row>
    <row r="25" spans="1:19" ht="60" x14ac:dyDescent="0.25">
      <c r="A25" s="2" t="s">
        <v>792</v>
      </c>
      <c r="B25" s="2" t="str">
        <f t="shared" si="4"/>
        <v>RES_database_one.causes.tiempoteorico.description.rotext</v>
      </c>
      <c r="C25" s="2" t="str">
        <f t="shared" si="0"/>
        <v>causes</v>
      </c>
      <c r="D25" s="2" t="str">
        <f t="shared" si="1"/>
        <v>tiempoteorico</v>
      </c>
      <c r="E25" s="2" t="str">
        <f t="shared" si="2"/>
        <v>description</v>
      </c>
      <c r="F25" s="2" t="str">
        <f t="shared" si="3"/>
        <v>Las horas que se han planificado al empleado y éste debería realizar. Justificación interna de VisualTime, no se debe borrar ni modificar.</v>
      </c>
      <c r="G25" s="1" t="s">
        <v>49</v>
      </c>
      <c r="H25" s="1" t="s">
        <v>140</v>
      </c>
      <c r="I25" s="1" t="s">
        <v>726</v>
      </c>
      <c r="J25" s="1" t="s">
        <v>535</v>
      </c>
      <c r="K25" s="1" t="s">
        <v>264</v>
      </c>
      <c r="L25" s="1" t="s">
        <v>341</v>
      </c>
      <c r="M25" s="1" t="s">
        <v>418</v>
      </c>
      <c r="N25" s="5" t="str">
        <f>CONCATENATE("UPDATE ",Database_ESP[[#This Row],[Table]]," SET ",Database_ESP[[#This Row],[Column]]," = '",Database_ESP[[#This Row],[POR.XAVI.INICIAL]],"' WHERE LanguageTag = '",Database_ESP[[#This Row],[Tag]],"'")</f>
        <v>UPDATE causes SET description = 'Horas a compensar' WHERE LanguageTag = 'tiempoteorico'</v>
      </c>
      <c r="O25" s="5" t="str">
        <f>CONCATENATE("UPDATE ",Database_ESP[[#This Row],[Table]]," SET ",Database_ESP[[#This Row],[Column]]," = '",Database_ESP[[#This Row],[ESP]],"' WHERE LanguageTag = '",Database_ESP[[#This Row],[Tag]],"'")</f>
        <v>UPDATE causes SET description = 'Las horas que se han planificado al empleado y éste debería realizar. Justificación interna de VisualTime, no se debe borrar ni modificar.' WHERE LanguageTag = 'tiempoteorico'</v>
      </c>
      <c r="P25" s="5" t="str">
        <f>CONCATENATE("UPDATE ",Database_ESP[[#This Row],[Table]]," SET ",Database_ESP[[#This Row],[Column]]," = '",Database_ESP[[#This Row],[ENG]],"' WHERE LanguageTag = '",Database_ESP[[#This Row],[Tag]],"'")</f>
        <v>UPDATE causes SET description = 'The hours that have been planned for the employee and that he/she should work. Internal justification of VisualTime, should not be deleted or modified.' WHERE LanguageTag = 'tiempoteorico'</v>
      </c>
      <c r="Q25" s="5" t="str">
        <f>CONCATENATE("UPDATE ",Database_ESP[[#This Row],[Table]]," SET ",Database_ESP[[#This Row],[Column]]," = '",Database_ESP[[#This Row],[FR]],"' WHERE LanguageTag = '",Database_ESP[[#This Row],[Tag]],"'")</f>
        <v>UPDATE causes SET description = 'Les heures qui ont été planifiées pour l'employé et qui doivent être effectuées par lui. Justification VisualTime interne, à ne pas supprimer ou modifier.' WHERE LanguageTag = 'tiempoteorico'</v>
      </c>
      <c r="R25" s="5" t="str">
        <f>CONCATENATE("UPDATE ",Database_ESP[[#This Row],[Table]]," SET ",Database_ESP[[#This Row],[Column]]," = '",Database_ESP[[#This Row],[IT]],"' WHERE LanguageTag = '",Database_ESP[[#This Row],[Tag]],"'")</f>
        <v>UPDATE causes SET description = 'Le ore che sono state pianificate per il dipendente e che devono essere svolte da quest'ultimo. Giustificazione interna di VisualTime, da non cancellare o modificare.' WHERE LanguageTag = 'tiempoteorico'</v>
      </c>
      <c r="S25" s="5" t="str">
        <f>CONCATENATE("UPDATE ",Database_ESP[[#This Row],[Table]]," SET ",Database_ESP[[#This Row],[Column]]," = '",Database_ESP[[#This Row],[SK]],"' WHERE LanguageTag = '",Database_ESP[[#This Row],[Tag]],"'")</f>
        <v>UPDATE causes SET description = 'Hodiny, ktoré boli pre zamestnanca naplánované a ktoré by mal vykonať. Interné zdôvodnenie VisualTime, ktoré sa nesmie vymazať ani zmeniť.' WHERE LanguageTag = 'tiempoteorico'</v>
      </c>
    </row>
    <row r="26" spans="1:19" ht="345" x14ac:dyDescent="0.25">
      <c r="A26" s="2" t="s">
        <v>793</v>
      </c>
      <c r="B26" s="2" t="str">
        <f t="shared" si="4"/>
        <v>RES_database_one.causes.tiempoteorico.name.rotext</v>
      </c>
      <c r="C26" s="2" t="str">
        <f t="shared" si="0"/>
        <v>causes</v>
      </c>
      <c r="D26" s="2" t="str">
        <f t="shared" si="1"/>
        <v>tiempoteorico</v>
      </c>
      <c r="E26" s="2" t="str">
        <f t="shared" si="2"/>
        <v>name</v>
      </c>
      <c r="F26" s="2" t="str">
        <f t="shared" si="3"/>
        <v>Tiempo teórico</v>
      </c>
      <c r="G26" s="1" t="s">
        <v>895</v>
      </c>
      <c r="H26" s="1" t="s">
        <v>141</v>
      </c>
      <c r="I26" s="1" t="s">
        <v>727</v>
      </c>
      <c r="J26" s="1" t="s">
        <v>536</v>
      </c>
      <c r="K26" s="1" t="s">
        <v>638</v>
      </c>
      <c r="L26" s="1" t="s">
        <v>668</v>
      </c>
      <c r="M26" s="1" t="s">
        <v>605</v>
      </c>
      <c r="N26" s="5" t="str">
        <f>CONCATENATE("UPDATE ",Database_ESP[[#This Row],[Table]]," SET ",Database_ESP[[#This Row],[Column]]," = '",Database_ESP[[#This Row],[POR.XAVI.INICIAL]],"' WHERE LanguageTag = '",Database_ESP[[#This Row],[Tag]],"'")</f>
        <v>UPDATE causes SET name = 'Horas positivas que são compensadas para compensar as horas negativas que podem ser trabalhadas, adequadas para empresas com flexibilidade.' WHERE LanguageTag = 'tiempoteorico'</v>
      </c>
      <c r="O26" s="5" t="str">
        <f>CONCATENATE("UPDATE ",Database_ESP[[#This Row],[Table]]," SET ",Database_ESP[[#This Row],[Column]]," = '",Database_ESP[[#This Row],[ESP]],"' WHERE LanguageTag = '",Database_ESP[[#This Row],[Tag]],"'")</f>
        <v>UPDATE causes SET name = 'Tiempo teórico' WHERE LanguageTag = 'tiempoteorico'</v>
      </c>
      <c r="P26" s="5" t="str">
        <f>CONCATENATE("UPDATE ",Database_ESP[[#This Row],[Table]]," SET ",Database_ESP[[#This Row],[Column]]," = '",Database_ESP[[#This Row],[ENG]],"' WHERE LanguageTag = '",Database_ESP[[#This Row],[Tag]],"'")</f>
        <v>UPDATE causes SET name = 'Theoretical time' WHERE LanguageTag = 'tiempoteorico'</v>
      </c>
      <c r="Q26" s="5" t="str">
        <f>CONCATENATE("UPDATE ",Database_ESP[[#This Row],[Table]]," SET ",Database_ESP[[#This Row],[Column]]," = '",Database_ESP[[#This Row],[FR]],"' WHERE LanguageTag = '",Database_ESP[[#This Row],[Tag]],"'")</f>
        <v>UPDATE causes SET name = 'Durée théorique' WHERE LanguageTag = 'tiempoteorico'</v>
      </c>
      <c r="R26" s="5" t="str">
        <f>CONCATENATE("UPDATE ",Database_ESP[[#This Row],[Table]]," SET ",Database_ESP[[#This Row],[Column]]," = '",Database_ESP[[#This Row],[IT]],"' WHERE LanguageTag = '",Database_ESP[[#This Row],[Tag]],"'")</f>
        <v>UPDATE causes SET name = 'Tempo teorico' WHERE LanguageTag = 'tiempoteorico'</v>
      </c>
      <c r="S26" s="5" t="str">
        <f>CONCATENATE("UPDATE ",Database_ESP[[#This Row],[Table]]," SET ",Database_ESP[[#This Row],[Column]]," = '",Database_ESP[[#This Row],[SK]],"' WHERE LanguageTag = '",Database_ESP[[#This Row],[Tag]],"'")</f>
        <v>UPDATE causes SET name = 'Teoretický čas' WHERE LanguageTag = 'tiempoteorico'</v>
      </c>
    </row>
    <row r="27" spans="1:19" ht="60" x14ac:dyDescent="0.25">
      <c r="A27" s="2" t="s">
        <v>794</v>
      </c>
      <c r="B27" s="2" t="str">
        <f t="shared" si="4"/>
        <v>RES_database_one.causes.trabajoefectivo.description.rotext</v>
      </c>
      <c r="C27" s="2" t="str">
        <f t="shared" si="0"/>
        <v>causes</v>
      </c>
      <c r="D27" s="2" t="str">
        <f t="shared" si="1"/>
        <v>trabajoefectivo</v>
      </c>
      <c r="E27" s="2" t="str">
        <f t="shared" si="2"/>
        <v>description</v>
      </c>
      <c r="F27" s="2" t="str">
        <f t="shared" si="3"/>
        <v>Horas trabajadas dentro del horario planificado al usuario</v>
      </c>
      <c r="G27" s="1" t="s">
        <v>896</v>
      </c>
      <c r="H27" s="1" t="s">
        <v>142</v>
      </c>
      <c r="I27" s="1" t="s">
        <v>728</v>
      </c>
      <c r="J27" s="1" t="s">
        <v>537</v>
      </c>
      <c r="K27" s="1" t="s">
        <v>639</v>
      </c>
      <c r="L27" s="1" t="s">
        <v>669</v>
      </c>
      <c r="M27" s="1" t="s">
        <v>606</v>
      </c>
      <c r="N27" s="5" t="str">
        <f>CONCATENATE("UPDATE ",Database_ESP[[#This Row],[Table]]," SET ",Database_ESP[[#This Row],[Column]]," = '",Database_ESP[[#This Row],[POR.XAVI.INICIAL]],"' WHERE LanguageTag = '",Database_ESP[[#This Row],[Tag]],"'")</f>
        <v>UPDATE causes SET description = 'Horas de compensação ' WHERE LanguageTag = 'trabajoefectivo'</v>
      </c>
      <c r="O27" s="5" t="str">
        <f>CONCATENATE("UPDATE ",Database_ESP[[#This Row],[Table]]," SET ",Database_ESP[[#This Row],[Column]]," = '",Database_ESP[[#This Row],[ESP]],"' WHERE LanguageTag = '",Database_ESP[[#This Row],[Tag]],"'")</f>
        <v>UPDATE causes SET description = 'Horas trabajadas dentro del horario planificado al usuario' WHERE LanguageTag = 'trabajoefectivo'</v>
      </c>
      <c r="P27" s="5" t="str">
        <f>CONCATENATE("UPDATE ",Database_ESP[[#This Row],[Table]]," SET ",Database_ESP[[#This Row],[Column]]," = '",Database_ESP[[#This Row],[ENG]],"' WHERE LanguageTag = '",Database_ESP[[#This Row],[Tag]],"'")</f>
        <v>UPDATE causes SET description = 'Hours worked within the user's planned schedule' WHERE LanguageTag = 'trabajoefectivo'</v>
      </c>
      <c r="Q27" s="5" t="str">
        <f>CONCATENATE("UPDATE ",Database_ESP[[#This Row],[Table]]," SET ",Database_ESP[[#This Row],[Column]]," = '",Database_ESP[[#This Row],[FR]],"' WHERE LanguageTag = '",Database_ESP[[#This Row],[Tag]],"'")</f>
        <v>UPDATE causes SET description = 'Heures travaillées dans le cadre de l'horaire prévu de l'utilisateur' WHERE LanguageTag = 'trabajoefectivo'</v>
      </c>
      <c r="R27" s="5" t="str">
        <f>CONCATENATE("UPDATE ",Database_ESP[[#This Row],[Table]]," SET ",Database_ESP[[#This Row],[Column]]," = '",Database_ESP[[#This Row],[IT]],"' WHERE LanguageTag = '",Database_ESP[[#This Row],[Tag]],"'")</f>
        <v>UPDATE causes SET description = 'Ore lavorate nell'ambito dell'orario programmato dall'utente' WHERE LanguageTag = 'trabajoefectivo'</v>
      </c>
      <c r="S27" s="5" t="str">
        <f>CONCATENATE("UPDATE ",Database_ESP[[#This Row],[Table]]," SET ",Database_ESP[[#This Row],[Column]]," = '",Database_ESP[[#This Row],[SK]],"' WHERE LanguageTag = '",Database_ESP[[#This Row],[Tag]],"'")</f>
        <v>UPDATE causes SET description = 'Odpracované hodiny v rámci plánovaného rozvrhu používateľa' WHERE LanguageTag = 'trabajoefectivo'</v>
      </c>
    </row>
    <row r="28" spans="1:19" ht="30" x14ac:dyDescent="0.25">
      <c r="A28" s="2" t="s">
        <v>795</v>
      </c>
      <c r="B28" s="2" t="str">
        <f t="shared" si="4"/>
        <v>RES_database_one.causes.trabajoefectivo.name.rotext</v>
      </c>
      <c r="C28" s="2" t="str">
        <f t="shared" si="0"/>
        <v>causes</v>
      </c>
      <c r="D28" s="2" t="str">
        <f t="shared" si="1"/>
        <v>trabajoefectivo</v>
      </c>
      <c r="E28" s="2" t="str">
        <f t="shared" si="2"/>
        <v>name</v>
      </c>
      <c r="F28" s="2" t="str">
        <f t="shared" si="3"/>
        <v>Trabajo efectivo</v>
      </c>
      <c r="G28" s="1" t="s">
        <v>56</v>
      </c>
      <c r="H28" s="1" t="s">
        <v>143</v>
      </c>
      <c r="I28" s="1" t="s">
        <v>163</v>
      </c>
      <c r="J28" s="1" t="s">
        <v>218</v>
      </c>
      <c r="K28" s="1" t="s">
        <v>271</v>
      </c>
      <c r="L28" s="1" t="s">
        <v>348</v>
      </c>
      <c r="M28" s="1" t="s">
        <v>425</v>
      </c>
      <c r="N28" s="5" t="str">
        <f>CONCATENATE("UPDATE ",Database_ESP[[#This Row],[Table]]," SET ",Database_ESP[[#This Row],[Column]]," = '",Database_ESP[[#This Row],[POR.XAVI.INICIAL]],"' WHERE LanguageTag = '",Database_ESP[[#This Row],[Tag]],"'")</f>
        <v>UPDATE causes SET name = 'Amamentação' WHERE LanguageTag = 'trabajoefectivo'</v>
      </c>
      <c r="O28" s="5" t="str">
        <f>CONCATENATE("UPDATE ",Database_ESP[[#This Row],[Table]]," SET ",Database_ESP[[#This Row],[Column]]," = '",Database_ESP[[#This Row],[ESP]],"' WHERE LanguageTag = '",Database_ESP[[#This Row],[Tag]],"'")</f>
        <v>UPDATE causes SET name = 'Trabajo efectivo' WHERE LanguageTag = 'trabajoefectivo'</v>
      </c>
      <c r="P28" s="5" t="str">
        <f>CONCATENATE("UPDATE ",Database_ESP[[#This Row],[Table]]," SET ",Database_ESP[[#This Row],[Column]]," = '",Database_ESP[[#This Row],[ENG]],"' WHERE LanguageTag = '",Database_ESP[[#This Row],[Tag]],"'")</f>
        <v>UPDATE causes SET name = 'Effective work' WHERE LanguageTag = 'trabajoefectivo'</v>
      </c>
      <c r="Q28" s="5" t="str">
        <f>CONCATENATE("UPDATE ",Database_ESP[[#This Row],[Table]]," SET ",Database_ESP[[#This Row],[Column]]," = '",Database_ESP[[#This Row],[FR]],"' WHERE LanguageTag = '",Database_ESP[[#This Row],[Tag]],"'")</f>
        <v>UPDATE causes SET name = 'Un travail efficace' WHERE LanguageTag = 'trabajoefectivo'</v>
      </c>
      <c r="R28" s="5" t="str">
        <f>CONCATENATE("UPDATE ",Database_ESP[[#This Row],[Table]]," SET ",Database_ESP[[#This Row],[Column]]," = '",Database_ESP[[#This Row],[IT]],"' WHERE LanguageTag = '",Database_ESP[[#This Row],[Tag]],"'")</f>
        <v>UPDATE causes SET name = 'Lavoro efficace' WHERE LanguageTag = 'trabajoefectivo'</v>
      </c>
      <c r="S28" s="5" t="str">
        <f>CONCATENATE("UPDATE ",Database_ESP[[#This Row],[Table]]," SET ",Database_ESP[[#This Row],[Column]]," = '",Database_ESP[[#This Row],[SK]],"' WHERE LanguageTag = '",Database_ESP[[#This Row],[Tag]],"'")</f>
        <v>UPDATE causes SET name = 'Efektívna práca' WHERE LanguageTag = 'trabajoefectivo'</v>
      </c>
    </row>
    <row r="29" spans="1:19" ht="75" x14ac:dyDescent="0.25">
      <c r="A29" s="2" t="s">
        <v>796</v>
      </c>
      <c r="B29" s="2" t="str">
        <f t="shared" si="4"/>
        <v>RES_database_one.causes.vacaciones.description.rotext</v>
      </c>
      <c r="C29" s="2" t="str">
        <f t="shared" si="0"/>
        <v>causes</v>
      </c>
      <c r="D29" s="2" t="str">
        <f t="shared" si="1"/>
        <v>vacaciones</v>
      </c>
      <c r="E29" s="2" t="str">
        <f t="shared" si="2"/>
        <v>description</v>
      </c>
      <c r="F29" s="2" t="str">
        <f t="shared" si="3"/>
        <v>Ausencia por vacaciones anuales retribuidas. No es sustituible por compensación económica, será el pactado en Convenio Colectivo o contrato individual. Respetando este pacto los mínimos legales de 30 días naturales por año.</v>
      </c>
      <c r="G29" s="1" t="s">
        <v>52</v>
      </c>
      <c r="H29" s="1" t="s">
        <v>124</v>
      </c>
      <c r="I29" s="1" t="s">
        <v>729</v>
      </c>
      <c r="J29" s="1" t="s">
        <v>538</v>
      </c>
      <c r="K29" s="1" t="s">
        <v>262</v>
      </c>
      <c r="L29" s="1" t="s">
        <v>339</v>
      </c>
      <c r="M29" s="1" t="s">
        <v>416</v>
      </c>
      <c r="N29" s="5" t="str">
        <f>CONCATENATE("UPDATE ",Database_ESP[[#This Row],[Table]]," SET ",Database_ESP[[#This Row],[Column]]," = '",Database_ESP[[#This Row],[POR.XAVI.INICIAL]],"' WHERE LanguageTag = '",Database_ESP[[#This Row],[Tag]],"'")</f>
        <v>UPDATE causes SET description = 'Aleitamento materno' WHERE LanguageTag = 'vacaciones'</v>
      </c>
      <c r="O29" s="5" t="str">
        <f>CONCATENATE("UPDATE ",Database_ESP[[#This Row],[Table]]," SET ",Database_ESP[[#This Row],[Column]]," = '",Database_ESP[[#This Row],[ESP]],"' WHERE LanguageTag = '",Database_ESP[[#This Row],[Tag]],"'")</f>
        <v>UPDATE causes SET description = 'Ausencia por vacaciones anuales retribuidas. No es sustituible por compensación económica, será el pactado en Convenio Colectivo o contrato individual. Respetando este pacto los mínimos legales de 30 días naturales por año.' WHERE LanguageTag = 'vacaciones'</v>
      </c>
      <c r="P29" s="5" t="str">
        <f>CONCATENATE("UPDATE ",Database_ESP[[#This Row],[Table]]," SET ",Database_ESP[[#This Row],[Column]]," = '",Database_ESP[[#This Row],[ENG]],"' WHERE LanguageTag = '",Database_ESP[[#This Row],[Tag]],"'")</f>
        <v>UPDATE causes SET description = 'Absence due to paid annual leave. It cannot be replaced by financial compensation, it will be as agreed in the Collective Agreement or individual contract. This agreement respects the legal minimum of 30 calendar days per year.' WHERE LanguageTag = 'vacaciones'</v>
      </c>
      <c r="Q29" s="5" t="str">
        <f>CONCATENATE("UPDATE ",Database_ESP[[#This Row],[Table]]," SET ",Database_ESP[[#This Row],[Column]]," = '",Database_ESP[[#This Row],[FR]],"' WHERE LanguageTag = '",Database_ESP[[#This Row],[Tag]],"'")</f>
        <v>UPDATE causes SET description = 'Absence due au congé annuel payé. Elle n'est pas remplaçable par une compensation financière ; elle correspondra au montant convenu dans la convention collective ou le contrat individuel. Dans le respect de cet accord, le minimum légal est de 30 jours calendaires par an.' WHERE LanguageTag = 'vacaciones'</v>
      </c>
      <c r="R29" s="5" t="str">
        <f>CONCATENATE("UPDATE ",Database_ESP[[#This Row],[Table]]," SET ",Database_ESP[[#This Row],[Column]]," = '",Database_ESP[[#This Row],[IT]],"' WHERE LanguageTag = '",Database_ESP[[#This Row],[Tag]],"'")</f>
        <v>UPDATE causes SET description = 'Assenza dovuta a ferie annuali retribuite. Non è sostituibile da una compensazione economica; sarà l'importo concordato nel Contratto Collettivo o nel contratto individuale. Nel rispetto di questo accordo il minimo legale è di 30 giorni di calendario all'anno.' WHERE LanguageTag = 'vacaciones'</v>
      </c>
      <c r="S29" s="5" t="str">
        <f>CONCATENATE("UPDATE ",Database_ESP[[#This Row],[Table]]," SET ",Database_ESP[[#This Row],[Column]]," = '",Database_ESP[[#This Row],[SK]],"' WHERE LanguageTag = '",Database_ESP[[#This Row],[Tag]],"'")</f>
        <v>UPDATE causes SET description = 'Neprítomnosť z dôvodu platenej dovolenky. Nenahrádza sa finančnou náhradou; jej výška je dohodnutá v kolektívnej zmluve alebo v individuálnej zmluve. Pri rešpektovaní tejto dohody je zákonné minimum 30 kalendárnych dní ročne.' WHERE LanguageTag = 'vacaciones'</v>
      </c>
    </row>
    <row r="30" spans="1:19" ht="60" x14ac:dyDescent="0.25">
      <c r="A30" s="2" t="s">
        <v>797</v>
      </c>
      <c r="B30" s="2" t="str">
        <f t="shared" si="4"/>
        <v>RES_database_one.causes.vacaciones.name.rotext</v>
      </c>
      <c r="C30" s="2" t="str">
        <f t="shared" si="0"/>
        <v>causes</v>
      </c>
      <c r="D30" s="2" t="str">
        <f t="shared" si="1"/>
        <v>vacaciones</v>
      </c>
      <c r="E30" s="2" t="str">
        <f t="shared" si="2"/>
        <v>name</v>
      </c>
      <c r="F30" s="2" t="str">
        <f t="shared" si="3"/>
        <v>Vacaciones</v>
      </c>
      <c r="G30" s="1" t="s">
        <v>45</v>
      </c>
      <c r="H30" s="1" t="s">
        <v>127</v>
      </c>
      <c r="I30" s="1" t="s">
        <v>128</v>
      </c>
      <c r="J30" s="1" t="s">
        <v>216</v>
      </c>
      <c r="K30" s="1" t="s">
        <v>263</v>
      </c>
      <c r="L30" s="1" t="s">
        <v>340</v>
      </c>
      <c r="M30" s="1" t="s">
        <v>417</v>
      </c>
      <c r="N30" s="5" t="str">
        <f>CONCATENATE("UPDATE ",Database_ESP[[#This Row],[Table]]," SET ",Database_ESP[[#This Row],[Column]]," = '",Database_ESP[[#This Row],[POR.XAVI.INICIAL]],"' WHERE LanguageTag = '",Database_ESP[[#This Row],[Tag]],"'")</f>
        <v>UPDATE causes SET name = 'Maternidade/Paternidade' WHERE LanguageTag = 'vacaciones'</v>
      </c>
      <c r="O30" s="5" t="str">
        <f>CONCATENATE("UPDATE ",Database_ESP[[#This Row],[Table]]," SET ",Database_ESP[[#This Row],[Column]]," = '",Database_ESP[[#This Row],[ESP]],"' WHERE LanguageTag = '",Database_ESP[[#This Row],[Tag]],"'")</f>
        <v>UPDATE causes SET name = 'Vacaciones' WHERE LanguageTag = 'vacaciones'</v>
      </c>
      <c r="P30" s="5" t="str">
        <f>CONCATENATE("UPDATE ",Database_ESP[[#This Row],[Table]]," SET ",Database_ESP[[#This Row],[Column]]," = '",Database_ESP[[#This Row],[ENG]],"' WHERE LanguageTag = '",Database_ESP[[#This Row],[Tag]],"'")</f>
        <v>UPDATE causes SET name = 'Vacation' WHERE LanguageTag = 'vacaciones'</v>
      </c>
      <c r="Q30" s="5" t="str">
        <f>CONCATENATE("UPDATE ",Database_ESP[[#This Row],[Table]]," SET ",Database_ESP[[#This Row],[Column]]," = '",Database_ESP[[#This Row],[FR]],"' WHERE LanguageTag = '",Database_ESP[[#This Row],[Tag]],"'")</f>
        <v>UPDATE causes SET name = 'Des vacances' WHERE LanguageTag = 'vacaciones'</v>
      </c>
      <c r="R30" s="5" t="str">
        <f>CONCATENATE("UPDATE ",Database_ESP[[#This Row],[Table]]," SET ",Database_ESP[[#This Row],[Column]]," = '",Database_ESP[[#This Row],[IT]],"' WHERE LanguageTag = '",Database_ESP[[#This Row],[Tag]],"'")</f>
        <v>UPDATE causes SET name = 'Vacanza' WHERE LanguageTag = 'vacaciones'</v>
      </c>
      <c r="S30" s="5" t="str">
        <f>CONCATENATE("UPDATE ",Database_ESP[[#This Row],[Table]]," SET ",Database_ESP[[#This Row],[Column]]," = '",Database_ESP[[#This Row],[SK]],"' WHERE LanguageTag = '",Database_ESP[[#This Row],[Tag]],"'")</f>
        <v>UPDATE causes SET name = 'Dovolenka' WHERE LanguageTag = 'vacaciones'</v>
      </c>
    </row>
    <row r="31" spans="1:19" ht="60" x14ac:dyDescent="0.25">
      <c r="A31" s="2" t="s">
        <v>798</v>
      </c>
      <c r="B31" s="2" t="str">
        <f t="shared" si="4"/>
        <v>RES_database_one.causes.vtnojustificado.description.rotext</v>
      </c>
      <c r="C31" s="2" t="str">
        <f t="shared" si="0"/>
        <v>causes</v>
      </c>
      <c r="D31" s="2" t="str">
        <f t="shared" si="1"/>
        <v>vtnojustificado</v>
      </c>
      <c r="E31" s="2" t="str">
        <f t="shared" si="2"/>
        <v>description</v>
      </c>
      <c r="F31" s="2" t="str">
        <f t="shared" si="3"/>
        <v>Ausencia sin motivo justificado que genera una alerta. El objetivo es que no haya ningún tiempo justificado con este motivo. Justificación interna de VisualTime, no se debe borrar ni modificar.</v>
      </c>
      <c r="G31" s="1" t="s">
        <v>48</v>
      </c>
      <c r="H31" s="1" t="s">
        <v>127</v>
      </c>
      <c r="I31" s="1" t="s">
        <v>730</v>
      </c>
      <c r="J31" s="1" t="s">
        <v>539</v>
      </c>
      <c r="K31" s="1" t="s">
        <v>265</v>
      </c>
      <c r="L31" s="1" t="s">
        <v>342</v>
      </c>
      <c r="M31" s="1" t="s">
        <v>419</v>
      </c>
      <c r="N31" s="5" t="str">
        <f>CONCATENATE("UPDATE ",Database_ESP[[#This Row],[Table]]," SET ",Database_ESP[[#This Row],[Column]]," = '",Database_ESP[[#This Row],[POR.XAVI.INICIAL]],"' WHERE LanguageTag = '",Database_ESP[[#This Row],[Tag]],"'")</f>
        <v>UPDATE causes SET description = 'Maternidade/Paternidade' WHERE LanguageTag = 'vtnojustificado'</v>
      </c>
      <c r="O31" s="5" t="str">
        <f>CONCATENATE("UPDATE ",Database_ESP[[#This Row],[Table]]," SET ",Database_ESP[[#This Row],[Column]]," = '",Database_ESP[[#This Row],[ESP]],"' WHERE LanguageTag = '",Database_ESP[[#This Row],[Tag]],"'")</f>
        <v>UPDATE causes SET description = 'Ausencia sin motivo justificado que genera una alerta. El objetivo es que no haya ningún tiempo justificado con este motivo. Justificación interna de VisualTime, no se debe borrar ni modificar.' WHERE LanguageTag = 'vtnojustificado'</v>
      </c>
      <c r="P31" s="5" t="str">
        <f>CONCATENATE("UPDATE ",Database_ESP[[#This Row],[Table]]," SET ",Database_ESP[[#This Row],[Column]]," = '",Database_ESP[[#This Row],[ENG]],"' WHERE LanguageTag = '",Database_ESP[[#This Row],[Tag]],"'")</f>
        <v>UPDATE causes SET description = 'Absence without a justified reason that generates an alert. The objective is that there is no time justified with this reason. Internal VisualTime justification, it should not be deleted or modified.' WHERE LanguageTag = 'vtnojustificado'</v>
      </c>
      <c r="Q31" s="5" t="str">
        <f>CONCATENATE("UPDATE ",Database_ESP[[#This Row],[Table]]," SET ",Database_ESP[[#This Row],[Column]]," = '",Database_ESP[[#This Row],[FR]],"' WHERE LanguageTag = '",Database_ESP[[#This Row],[Tag]],"'")</f>
        <v>UPDATE causes SET description = 'Absence non excusée qui génère une alerte. L'objectif est qu'il n'y ait pas de temps justifié pour cette raison. Justification VisualTime interne, à ne pas supprimer ou modifier.' WHERE LanguageTag = 'vtnojustificado'</v>
      </c>
      <c r="R31" s="5" t="str">
        <f>CONCATENATE("UPDATE ",Database_ESP[[#This Row],[Table]]," SET ",Database_ESP[[#This Row],[Column]]," = '",Database_ESP[[#This Row],[IT]],"' WHERE LanguageTag = '",Database_ESP[[#This Row],[Tag]],"'")</f>
        <v>UPDATE causes SET description = 'Assenza ingiustificata che genera un avviso. L'obiettivo è che non ci sia un orario giustificato per questo motivo. Giustificazione interna di VisualTime, da non cancellare o modificare.' WHERE LanguageTag = 'vtnojustificado'</v>
      </c>
      <c r="S31" s="5" t="str">
        <f>CONCATENATE("UPDATE ",Database_ESP[[#This Row],[Table]]," SET ",Database_ESP[[#This Row],[Column]]," = '",Database_ESP[[#This Row],[SK]],"' WHERE LanguageTag = '",Database_ESP[[#This Row],[Tag]],"'")</f>
        <v>UPDATE causes SET description = 'Neospravedlnená neprítomnosť, ktorá generuje upozornenie. Cieľom je, aby z tohto dôvodu nebol ospravedlnený čas. Interné ospravedlnenie VisualTime, ktoré sa nesmie vymazať ani upraviť.' WHERE LanguageTag = 'vtnojustificado'</v>
      </c>
    </row>
    <row r="32" spans="1:19" ht="60" x14ac:dyDescent="0.25">
      <c r="A32" s="2" t="s">
        <v>799</v>
      </c>
      <c r="B32" s="2" t="str">
        <f t="shared" si="4"/>
        <v>RES_database_one.causes.vtnojustificado.name.rotext</v>
      </c>
      <c r="C32" s="2" t="str">
        <f t="shared" si="0"/>
        <v>causes</v>
      </c>
      <c r="D32" s="2" t="str">
        <f t="shared" si="1"/>
        <v>vtnojustificado</v>
      </c>
      <c r="E32" s="2" t="str">
        <f t="shared" si="2"/>
        <v>name</v>
      </c>
      <c r="F32" s="2" t="str">
        <f t="shared" si="3"/>
        <v>VT. NO JUSTIFICADO</v>
      </c>
      <c r="G32" s="1" t="s">
        <v>42</v>
      </c>
      <c r="H32" s="1" t="s">
        <v>121</v>
      </c>
      <c r="I32" s="1" t="s">
        <v>482</v>
      </c>
      <c r="J32" s="1" t="s">
        <v>540</v>
      </c>
      <c r="K32" s="1" t="s">
        <v>266</v>
      </c>
      <c r="L32" s="1" t="s">
        <v>343</v>
      </c>
      <c r="M32" s="1" t="s">
        <v>420</v>
      </c>
      <c r="N32" s="5" t="str">
        <f>CONCATENATE("UPDATE ",Database_ESP[[#This Row],[Table]]," SET ",Database_ESP[[#This Row],[Column]]," = '",Database_ESP[[#This Row],[POR.XAVI.INICIAL]],"' WHERE LanguageTag = '",Database_ESP[[#This Row],[Tag]],"'")</f>
        <v>UPDATE causes SET name = 'Casamento familiar' WHERE LanguageTag = 'vtnojustificado'</v>
      </c>
      <c r="O32" s="5" t="str">
        <f>CONCATENATE("UPDATE ",Database_ESP[[#This Row],[Table]]," SET ",Database_ESP[[#This Row],[Column]]," = '",Database_ESP[[#This Row],[ESP]],"' WHERE LanguageTag = '",Database_ESP[[#This Row],[Tag]],"'")</f>
        <v>UPDATE causes SET name = 'VT. NO JUSTIFICADO' WHERE LanguageTag = 'vtnojustificado'</v>
      </c>
      <c r="P32" s="5" t="str">
        <f>CONCATENATE("UPDATE ",Database_ESP[[#This Row],[Table]]," SET ",Database_ESP[[#This Row],[Column]]," = '",Database_ESP[[#This Row],[ENG]],"' WHERE LanguageTag = '",Database_ESP[[#This Row],[Tag]],"'")</f>
        <v>UPDATE causes SET name = 'VT. NOT JUSTIFIED' WHERE LanguageTag = 'vtnojustificado'</v>
      </c>
      <c r="Q32" s="5" t="str">
        <f>CONCATENATE("UPDATE ",Database_ESP[[#This Row],[Table]]," SET ",Database_ESP[[#This Row],[Column]]," = '",Database_ESP[[#This Row],[FR]],"' WHERE LanguageTag = '",Database_ESP[[#This Row],[Tag]],"'")</f>
        <v>UPDATE causes SET name = 'VT. NON JUSTIFIÉ' WHERE LanguageTag = 'vtnojustificado'</v>
      </c>
      <c r="R32" s="5" t="str">
        <f>CONCATENATE("UPDATE ",Database_ESP[[#This Row],[Table]]," SET ",Database_ESP[[#This Row],[Column]]," = '",Database_ESP[[#This Row],[IT]],"' WHERE LanguageTag = '",Database_ESP[[#This Row],[Tag]],"'")</f>
        <v>UPDATE causes SET name = 'VT. NON GIUSTIFICATO' WHERE LanguageTag = 'vtnojustificado'</v>
      </c>
      <c r="S32" s="5" t="str">
        <f>CONCATENATE("UPDATE ",Database_ESP[[#This Row],[Table]]," SET ",Database_ESP[[#This Row],[Column]]," = '",Database_ESP[[#This Row],[SK]],"' WHERE LanguageTag = '",Database_ESP[[#This Row],[Tag]],"'")</f>
        <v>UPDATE causes SET name = 'VT. NIE JE OSPRAVODLNENÝ' WHERE LanguageTag = 'vtnojustificado'</v>
      </c>
    </row>
    <row r="33" spans="1:19" ht="60" x14ac:dyDescent="0.25">
      <c r="A33" s="2" t="s">
        <v>800</v>
      </c>
      <c r="B33" s="2" t="str">
        <f t="shared" si="4"/>
        <v>RES_database_one.concepts.horas.description.rotext</v>
      </c>
      <c r="C33" s="2" t="str">
        <f t="shared" si="0"/>
        <v>concepts</v>
      </c>
      <c r="D33" s="2" t="str">
        <f t="shared" si="1"/>
        <v>horas</v>
      </c>
      <c r="E33" s="2" t="str">
        <f t="shared" si="2"/>
        <v>description</v>
      </c>
      <c r="F33" s="2" t="str">
        <f t="shared" si="3"/>
        <v xml:space="preserve">Este saldo restará todas las "horas a recuperar" y sumará todas las "horas recuperadas". Si el total de este saldo es negativo, el empleado debe horas a la empresa.  Si el total de este saldo es positivo, la empresa debe horas al trabajador. </v>
      </c>
      <c r="G33" s="1" t="s">
        <v>59</v>
      </c>
      <c r="H33" s="1" t="s">
        <v>121</v>
      </c>
      <c r="I33" s="1" t="s">
        <v>731</v>
      </c>
      <c r="J33" s="1" t="s">
        <v>541</v>
      </c>
      <c r="K33" s="1" t="s">
        <v>267</v>
      </c>
      <c r="L33" s="1" t="s">
        <v>344</v>
      </c>
      <c r="M33" s="1" t="s">
        <v>421</v>
      </c>
      <c r="N33" s="5" t="str">
        <f>CONCATENATE("UPDATE ",Database_ESP[[#This Row],[Table]]," SET ",Database_ESP[[#This Row],[Column]]," = '",Database_ESP[[#This Row],[POR.XAVI.INICIAL]],"' WHERE LanguageTag = '",Database_ESP[[#This Row],[Tag]],"'")</f>
        <v>UPDATE concepts SET description = 'Casamento familiar' WHERE LanguageTag = 'horas'</v>
      </c>
      <c r="O33" s="5" t="str">
        <f>CONCATENATE("UPDATE ",Database_ESP[[#This Row],[Table]]," SET ",Database_ESP[[#This Row],[Column]]," = '",Database_ESP[[#This Row],[ESP]],"' WHERE LanguageTag = '",Database_ESP[[#This Row],[Tag]],"'")</f>
        <v>UPDATE concepts SET description = 'Este saldo restará todas las "horas a recuperar" y sumará todas las "horas recuperadas". Si el total de este saldo es negativo, el empleado debe horas a la empresa.  Si el total de este saldo es positivo, la empresa debe horas al trabajador. ' WHERE LanguageTag = 'horas'</v>
      </c>
      <c r="P33" s="5" t="str">
        <f>CONCATENATE("UPDATE ",Database_ESP[[#This Row],[Table]]," SET ",Database_ESP[[#This Row],[Column]]," = '",Database_ESP[[#This Row],[ENG]],"' WHERE LanguageTag = '",Database_ESP[[#This Row],[Tag]],"'")</f>
        <v>UPDATE concepts SET description = ' This balance will subtract all the "hours to recover" and add all the "hours recovered". If the total of this balance is negative, the employee owes hours to the company. If the total of this balance is positive, the company owes hours to the worker.' WHERE LanguageTag = 'horas'</v>
      </c>
      <c r="Q33" s="5" t="str">
        <f>CONCATENATE("UPDATE ",Database_ESP[[#This Row],[Table]]," SET ",Database_ESP[[#This Row],[Column]]," = '",Database_ESP[[#This Row],[FR]],"' WHERE LanguageTag = '",Database_ESP[[#This Row],[Tag]],"'")</f>
        <v>UPDATE concepts SET description = 'Ce solde soustrait toutes les "heures à récupérer" et ajoute toutes les "heures récupérées". Si le total de ce solde est négatif, le salarié doit des heures à l'entreprise.  Si le total de ce solde est positif, l'entreprise doit des heures au salarié.' WHERE LanguageTag = 'horas'</v>
      </c>
      <c r="R33" s="5" t="str">
        <f>CONCATENATE("UPDATE ",Database_ESP[[#This Row],[Table]]," SET ",Database_ESP[[#This Row],[Column]]," = '",Database_ESP[[#This Row],[IT]],"' WHERE LanguageTag = '",Database_ESP[[#This Row],[Tag]],"'")</f>
        <v>UPDATE concepts SET description = 'Questo saldo sottrae tutte le "ore da recuperare" e aggiunge tutte le "ore recuperate". Se il totale di questo saldo è negativo, il dipendente deve delle ore all'azienda.  Se il totale di questo saldo è positivo, l'azienda deve delle ore al dipendente.' WHERE LanguageTag = 'horas'</v>
      </c>
      <c r="S33" s="5" t="str">
        <f>CONCATENATE("UPDATE ",Database_ESP[[#This Row],[Table]]," SET ",Database_ESP[[#This Row],[Column]]," = '",Database_ESP[[#This Row],[SK]],"' WHERE LanguageTag = '",Database_ESP[[#This Row],[Tag]],"'")</f>
        <v>UPDATE concepts SET description = 'Týmto zostatkom sa odpočítajú všetky "hodiny, ktoré sa majú obnoviť" a pripočítajú sa všetky "obnovené hodiny". Ak je súčet tohto zostatku záporný, zamestnanec dlhuje spoločnosti hodiny.  Ak je súčet tohto zostatku kladný, spoločnosť dlhuje zamestnancovi hodiny.' WHERE LanguageTag = 'horas'</v>
      </c>
    </row>
    <row r="34" spans="1:19" ht="45" x14ac:dyDescent="0.25">
      <c r="A34" s="2" t="s">
        <v>691</v>
      </c>
      <c r="B34" s="2" t="str">
        <f t="shared" si="4"/>
        <v>RES_database_one.concepts.horas.name.rotext</v>
      </c>
      <c r="C34" s="2" t="str">
        <f t="shared" ref="C34:C65" si="5">MID(B34, FIND(".", B34) + 1, FIND(".", B34, FIND(".", B34) + 1) - FIND(".", B34) - 1)</f>
        <v>concepts</v>
      </c>
      <c r="D34" s="2" t="str">
        <f t="shared" ref="D34:D65" si="6">MID(B34, FIND(".", B34, FIND(".", B34) + 1) + 1, FIND(".", B34, FIND(".", B34, FIND(".", B34) + 1) + 1) - FIND(".", B34, FIND(".", B34) + 1) - 1)</f>
        <v>horas</v>
      </c>
      <c r="E34" s="2" t="str">
        <f t="shared" ref="E34:E65" si="7">MID(B34, FIND(".", B34, FIND(".", B34, FIND(".", B34) + 1) + 1) + 1, FIND(".", B34, FIND(".", B34, FIND(".", B34, FIND(".", B34) + 1) + 1) + 1) - FIND(".", B34, FIND(".", B34, FIND(".", B34) + 1) + 1) - 1)</f>
        <v>name</v>
      </c>
      <c r="F34" s="2" t="str">
        <f t="shared" ref="F34:F65" si="8">RIGHT(A34,LEN(A34) - SEARCH("=", A34))</f>
        <v>Horas+/-</v>
      </c>
      <c r="G34" s="1" t="s">
        <v>732</v>
      </c>
      <c r="H34" s="1" t="s">
        <v>120</v>
      </c>
      <c r="I34" s="1" t="s">
        <v>732</v>
      </c>
      <c r="J34" s="1" t="s">
        <v>542</v>
      </c>
      <c r="K34" s="1" t="s">
        <v>640</v>
      </c>
      <c r="L34" s="1" t="s">
        <v>670</v>
      </c>
      <c r="M34" s="1" t="s">
        <v>607</v>
      </c>
      <c r="N34" s="5" t="str">
        <f>CONCATENATE("UPDATE ",Database_ESP[[#This Row],[Table]]," SET ",Database_ESP[[#This Row],[Column]]," = '",Database_ESP[[#This Row],[POR.XAVI.INICIAL]],"' WHERE LanguageTag = '",Database_ESP[[#This Row],[Tag]],"'")</f>
        <v>UPDATE concepts SET name = 'Casamento próprio' WHERE LanguageTag = 'horas'</v>
      </c>
      <c r="O34" s="5" t="str">
        <f>CONCATENATE("UPDATE ",Database_ESP[[#This Row],[Table]]," SET ",Database_ESP[[#This Row],[Column]]," = '",Database_ESP[[#This Row],[ESP]],"' WHERE LanguageTag = '",Database_ESP[[#This Row],[Tag]],"'")</f>
        <v>UPDATE concepts SET name = 'Horas+/-' WHERE LanguageTag = 'horas'</v>
      </c>
      <c r="P34" s="5" t="str">
        <f>CONCATENATE("UPDATE ",Database_ESP[[#This Row],[Table]]," SET ",Database_ESP[[#This Row],[Column]]," = '",Database_ESP[[#This Row],[ENG]],"' WHERE LanguageTag = '",Database_ESP[[#This Row],[Tag]],"'")</f>
        <v>UPDATE concepts SET name = 'Hours+/-' WHERE LanguageTag = 'horas'</v>
      </c>
      <c r="Q34" s="5" t="str">
        <f>CONCATENATE("UPDATE ",Database_ESP[[#This Row],[Table]]," SET ",Database_ESP[[#This Row],[Column]]," = '",Database_ESP[[#This Row],[FR]],"' WHERE LanguageTag = '",Database_ESP[[#This Row],[Tag]],"'")</f>
        <v>UPDATE concepts SET name = 'Heures+/-' WHERE LanguageTag = 'horas'</v>
      </c>
      <c r="R34" s="5" t="str">
        <f>CONCATENATE("UPDATE ",Database_ESP[[#This Row],[Table]]," SET ",Database_ESP[[#This Row],[Column]]," = '",Database_ESP[[#This Row],[IT]],"' WHERE LanguageTag = '",Database_ESP[[#This Row],[Tag]],"'")</f>
        <v>UPDATE concepts SET name = 'Ore+/-' WHERE LanguageTag = 'horas'</v>
      </c>
      <c r="S34" s="5" t="str">
        <f>CONCATENATE("UPDATE ",Database_ESP[[#This Row],[Table]]," SET ",Database_ESP[[#This Row],[Column]]," = '",Database_ESP[[#This Row],[SK]],"' WHERE LanguageTag = '",Database_ESP[[#This Row],[Tag]],"'")</f>
        <v>UPDATE concepts SET name = 'Hodiny+/-' WHERE LanguageTag = 'horas'</v>
      </c>
    </row>
    <row r="35" spans="1:19" ht="45" x14ac:dyDescent="0.25">
      <c r="A35" s="2" t="s">
        <v>801</v>
      </c>
      <c r="B35" s="2" t="str">
        <f t="shared" si="4"/>
        <v>RES_database_one.concepts.tiempoplanificadoteoria.description.rotext</v>
      </c>
      <c r="C35" s="2" t="str">
        <f t="shared" si="5"/>
        <v>concepts</v>
      </c>
      <c r="D35" s="2" t="str">
        <f t="shared" si="6"/>
        <v>tiempoplanificadoteoria</v>
      </c>
      <c r="E35" s="2" t="str">
        <f t="shared" si="7"/>
        <v>description</v>
      </c>
      <c r="F35" s="2" t="str">
        <f t="shared" si="8"/>
        <v>Tiempo planificado, es el tiempo que por horarios tengo que realizar</v>
      </c>
      <c r="G35" s="1" t="s">
        <v>60</v>
      </c>
      <c r="H35" s="1" t="s">
        <v>120</v>
      </c>
      <c r="I35" s="1" t="s">
        <v>733</v>
      </c>
      <c r="J35" s="1" t="s">
        <v>543</v>
      </c>
      <c r="K35" s="1" t="s">
        <v>269</v>
      </c>
      <c r="L35" s="1" t="s">
        <v>346</v>
      </c>
      <c r="M35" s="1" t="s">
        <v>423</v>
      </c>
      <c r="N35" s="5" t="str">
        <f>CONCATENATE("UPDATE ",Database_ESP[[#This Row],[Table]]," SET ",Database_ESP[[#This Row],[Column]]," = '",Database_ESP[[#This Row],[POR.XAVI.INICIAL]],"' WHERE LanguageTag = '",Database_ESP[[#This Row],[Tag]],"'")</f>
        <v>UPDATE concepts SET description = 'Casamento próprio' WHERE LanguageTag = 'tiempoplanificadoteoria'</v>
      </c>
      <c r="O35" s="5" t="str">
        <f>CONCATENATE("UPDATE ",Database_ESP[[#This Row],[Table]]," SET ",Database_ESP[[#This Row],[Column]]," = '",Database_ESP[[#This Row],[ESP]],"' WHERE LanguageTag = '",Database_ESP[[#This Row],[Tag]],"'")</f>
        <v>UPDATE concepts SET description = 'Tiempo planificado, es el tiempo que por horarios tengo que realizar' WHERE LanguageTag = 'tiempoplanificadoteoria'</v>
      </c>
      <c r="P35" s="5" t="str">
        <f>CONCATENATE("UPDATE ",Database_ESP[[#This Row],[Table]]," SET ",Database_ESP[[#This Row],[Column]]," = '",Database_ESP[[#This Row],[ENG]],"' WHERE LanguageTag = '",Database_ESP[[#This Row],[Tag]],"'")</f>
        <v>UPDATE concepts SET description = 'Planned time is the time that I have to do according to schedules.' WHERE LanguageTag = 'tiempoplanificadoteoria'</v>
      </c>
      <c r="Q35" s="5" t="str">
        <f>CONCATENATE("UPDATE ",Database_ESP[[#This Row],[Table]]," SET ",Database_ESP[[#This Row],[Column]]," = '",Database_ESP[[#This Row],[FR]],"' WHERE LanguageTag = '",Database_ESP[[#This Row],[Tag]],"'")</f>
        <v>UPDATE concepts SET description = 'Le temps planifié, c'est le temps que je dois consacrer aux horaires' WHERE LanguageTag = 'tiempoplanificadoteoria'</v>
      </c>
      <c r="R35" s="5" t="str">
        <f>CONCATENATE("UPDATE ",Database_ESP[[#This Row],[Table]]," SET ",Database_ESP[[#This Row],[Column]]," = '",Database_ESP[[#This Row],[IT]],"' WHERE LanguageTag = '",Database_ESP[[#This Row],[Tag]],"'")</f>
        <v>UPDATE concepts SET description = 'Tempo pianificato, questo è il tempo che devo dedicare agli orari' WHERE LanguageTag = 'tiempoplanificadoteoria'</v>
      </c>
      <c r="S35" s="5" t="str">
        <f>CONCATENATE("UPDATE ",Database_ESP[[#This Row],[Table]]," SET ",Database_ESP[[#This Row],[Column]]," = '",Database_ESP[[#This Row],[SK]],"' WHERE LanguageTag = '",Database_ESP[[#This Row],[Tag]],"'")</f>
        <v>UPDATE concepts SET description = 'Plánovaný čas, to je čas, ktorý musím venovať rozvrhom' WHERE LanguageTag = 'tiempoplanificadoteoria'</v>
      </c>
    </row>
    <row r="36" spans="1:19" ht="30" x14ac:dyDescent="0.25">
      <c r="A36" s="2" t="s">
        <v>802</v>
      </c>
      <c r="B36" s="2" t="str">
        <f t="shared" si="4"/>
        <v>RES_database_one.concepts.tiempoplanificadoteoria.name.rotext</v>
      </c>
      <c r="C36" s="2" t="str">
        <f t="shared" si="5"/>
        <v>concepts</v>
      </c>
      <c r="D36" s="2" t="str">
        <f t="shared" si="6"/>
        <v>tiempoplanificadoteoria</v>
      </c>
      <c r="E36" s="2" t="str">
        <f t="shared" si="7"/>
        <v>name</v>
      </c>
      <c r="F36" s="2" t="str">
        <f t="shared" si="8"/>
        <v>Tiempo planificado(teoría)</v>
      </c>
      <c r="G36" s="1" t="s">
        <v>897</v>
      </c>
      <c r="H36" s="1" t="s">
        <v>113</v>
      </c>
      <c r="I36" s="1" t="s">
        <v>734</v>
      </c>
      <c r="J36" s="1" t="s">
        <v>544</v>
      </c>
      <c r="K36" s="1" t="s">
        <v>641</v>
      </c>
      <c r="L36" s="1" t="s">
        <v>671</v>
      </c>
      <c r="M36" s="1" t="s">
        <v>608</v>
      </c>
      <c r="N36" s="5" t="str">
        <f>CONCATENATE("UPDATE ",Database_ESP[[#This Row],[Table]]," SET ",Database_ESP[[#This Row],[Column]]," = '",Database_ESP[[#This Row],[POR.XAVI.INICIAL]],"' WHERE LanguageTag = '",Database_ESP[[#This Row],[Tag]],"'")</f>
        <v>UPDATE concepts SET name = 'Médico' WHERE LanguageTag = 'tiempoplanificadoteoria'</v>
      </c>
      <c r="O36" s="5" t="str">
        <f>CONCATENATE("UPDATE ",Database_ESP[[#This Row],[Table]]," SET ",Database_ESP[[#This Row],[Column]]," = '",Database_ESP[[#This Row],[ESP]],"' WHERE LanguageTag = '",Database_ESP[[#This Row],[Tag]],"'")</f>
        <v>UPDATE concepts SET name = 'Tiempo planificado(teoría)' WHERE LanguageTag = 'tiempoplanificadoteoria'</v>
      </c>
      <c r="P36" s="5" t="str">
        <f>CONCATENATE("UPDATE ",Database_ESP[[#This Row],[Table]]," SET ",Database_ESP[[#This Row],[Column]]," = '",Database_ESP[[#This Row],[ENG]],"' WHERE LanguageTag = '",Database_ESP[[#This Row],[Tag]],"'")</f>
        <v>UPDATE concepts SET name = 'Planned time (theory)' WHERE LanguageTag = 'tiempoplanificadoteoria'</v>
      </c>
      <c r="Q36" s="5" t="str">
        <f>CONCATENATE("UPDATE ",Database_ESP[[#This Row],[Table]]," SET ",Database_ESP[[#This Row],[Column]]," = '",Database_ESP[[#This Row],[FR]],"' WHERE LanguageTag = '",Database_ESP[[#This Row],[Tag]],"'")</f>
        <v>UPDATE concepts SET name = 'Temps planifié (théorie)' WHERE LanguageTag = 'tiempoplanificadoteoria'</v>
      </c>
      <c r="R36" s="5" t="str">
        <f>CONCATENATE("UPDATE ",Database_ESP[[#This Row],[Table]]," SET ",Database_ESP[[#This Row],[Column]]," = '",Database_ESP[[#This Row],[IT]],"' WHERE LanguageTag = '",Database_ESP[[#This Row],[Tag]],"'")</f>
        <v>UPDATE concepts SET name = 'Tempo pianificato (teoria)' WHERE LanguageTag = 'tiempoplanificadoteoria'</v>
      </c>
      <c r="S36" s="5" t="str">
        <f>CONCATENATE("UPDATE ",Database_ESP[[#This Row],[Table]]," SET ",Database_ESP[[#This Row],[Column]]," = '",Database_ESP[[#This Row],[SK]],"' WHERE LanguageTag = '",Database_ESP[[#This Row],[Tag]],"'")</f>
        <v>UPDATE concepts SET name = 'Plánovaný čas (teória)' WHERE LanguageTag = 'tiempoplanificadoteoria'</v>
      </c>
    </row>
    <row r="37" spans="1:19" ht="30" x14ac:dyDescent="0.25">
      <c r="A37" s="2" t="s">
        <v>803</v>
      </c>
      <c r="B37" s="2" t="str">
        <f t="shared" si="4"/>
        <v>RES_database_one.concepts.totalabsentismo.description.rotext</v>
      </c>
      <c r="C37" s="2" t="str">
        <f t="shared" si="5"/>
        <v>concepts</v>
      </c>
      <c r="D37" s="2" t="str">
        <f t="shared" si="6"/>
        <v>totalabsentismo</v>
      </c>
      <c r="E37" s="2" t="str">
        <f t="shared" si="7"/>
        <v>description</v>
      </c>
      <c r="F37" s="2" t="str">
        <f t="shared" si="8"/>
        <v xml:space="preserve">Tiempo de ausencia </v>
      </c>
      <c r="G37" s="1" t="s">
        <v>898</v>
      </c>
      <c r="H37" s="1" t="s">
        <v>113</v>
      </c>
      <c r="I37" s="1" t="s">
        <v>735</v>
      </c>
      <c r="J37" s="1" t="s">
        <v>545</v>
      </c>
      <c r="K37" s="1" t="s">
        <v>642</v>
      </c>
      <c r="L37" s="1" t="s">
        <v>672</v>
      </c>
      <c r="M37" s="1" t="s">
        <v>609</v>
      </c>
      <c r="N37" s="5" t="str">
        <f>CONCATENATE("UPDATE ",Database_ESP[[#This Row],[Table]]," SET ",Database_ESP[[#This Row],[Column]]," = '",Database_ESP[[#This Row],[POR.XAVI.INICIAL]],"' WHERE LanguageTag = '",Database_ESP[[#This Row],[Tag]],"'")</f>
        <v>UPDATE concepts SET description = 'Médico' WHERE LanguageTag = 'totalabsentismo'</v>
      </c>
      <c r="O37" s="5" t="str">
        <f>CONCATENATE("UPDATE ",Database_ESP[[#This Row],[Table]]," SET ",Database_ESP[[#This Row],[Column]]," = '",Database_ESP[[#This Row],[ESP]],"' WHERE LanguageTag = '",Database_ESP[[#This Row],[Tag]],"'")</f>
        <v>UPDATE concepts SET description = 'Tiempo de ausencia ' WHERE LanguageTag = 'totalabsentismo'</v>
      </c>
      <c r="P37" s="5" t="str">
        <f>CONCATENATE("UPDATE ",Database_ESP[[#This Row],[Table]]," SET ",Database_ESP[[#This Row],[Column]]," = '",Database_ESP[[#This Row],[ENG]],"' WHERE LanguageTag = '",Database_ESP[[#This Row],[Tag]],"'")</f>
        <v>UPDATE concepts SET description = 'Time of absence' WHERE LanguageTag = 'totalabsentismo'</v>
      </c>
      <c r="Q37" s="5" t="str">
        <f>CONCATENATE("UPDATE ",Database_ESP[[#This Row],[Table]]," SET ",Database_ESP[[#This Row],[Column]]," = '",Database_ESP[[#This Row],[FR]],"' WHERE LanguageTag = '",Database_ESP[[#This Row],[Tag]],"'")</f>
        <v>UPDATE concepts SET description = 'Temps d'absence' WHERE LanguageTag = 'totalabsentismo'</v>
      </c>
      <c r="R37" s="5" t="str">
        <f>CONCATENATE("UPDATE ",Database_ESP[[#This Row],[Table]]," SET ",Database_ESP[[#This Row],[Column]]," = '",Database_ESP[[#This Row],[IT]],"' WHERE LanguageTag = '",Database_ESP[[#This Row],[Tag]],"'")</f>
        <v>UPDATE concepts SET description = 'Tempo libero' WHERE LanguageTag = 'totalabsentismo'</v>
      </c>
      <c r="S37" s="5" t="str">
        <f>CONCATENATE("UPDATE ",Database_ESP[[#This Row],[Table]]," SET ",Database_ESP[[#This Row],[Column]]," = '",Database_ESP[[#This Row],[SK]],"' WHERE LanguageTag = '",Database_ESP[[#This Row],[Tag]],"'")</f>
        <v>UPDATE concepts SET description = 'Čas mimo domova' WHERE LanguageTag = 'totalabsentismo'</v>
      </c>
    </row>
    <row r="38" spans="1:19" ht="60" x14ac:dyDescent="0.25">
      <c r="A38" s="2" t="s">
        <v>804</v>
      </c>
      <c r="B38" s="2" t="str">
        <f t="shared" si="4"/>
        <v>RES_database_one.concepts.totalabsentismo.name.rotext</v>
      </c>
      <c r="C38" s="2" t="str">
        <f t="shared" si="5"/>
        <v>concepts</v>
      </c>
      <c r="D38" s="2" t="str">
        <f t="shared" si="6"/>
        <v>totalabsentismo</v>
      </c>
      <c r="E38" s="2" t="str">
        <f t="shared" si="7"/>
        <v>name</v>
      </c>
      <c r="F38" s="2" t="str">
        <f t="shared" si="8"/>
        <v>Total absentismo</v>
      </c>
      <c r="G38" s="1" t="s">
        <v>899</v>
      </c>
      <c r="H38" s="1" t="s">
        <v>192</v>
      </c>
      <c r="I38" s="1" t="s">
        <v>736</v>
      </c>
      <c r="J38" s="1" t="s">
        <v>546</v>
      </c>
      <c r="K38" s="1" t="s">
        <v>643</v>
      </c>
      <c r="L38" s="1" t="s">
        <v>673</v>
      </c>
      <c r="M38" s="1" t="s">
        <v>610</v>
      </c>
      <c r="N38" s="5" t="str">
        <f>CONCATENATE("UPDATE ",Database_ESP[[#This Row],[Table]]," SET ",Database_ESP[[#This Row],[Column]]," = '",Database_ESP[[#This Row],[POR.XAVI.INICIAL]],"' WHERE LanguageTag = '",Database_ESP[[#This Row],[Tag]],"'")</f>
        <v>UPDATE concepts SET name = 'Nascimento da criança' WHERE LanguageTag = 'totalabsentismo'</v>
      </c>
      <c r="O38" s="5" t="str">
        <f>CONCATENATE("UPDATE ",Database_ESP[[#This Row],[Table]]," SET ",Database_ESP[[#This Row],[Column]]," = '",Database_ESP[[#This Row],[ESP]],"' WHERE LanguageTag = '",Database_ESP[[#This Row],[Tag]],"'")</f>
        <v>UPDATE concepts SET name = 'Total absentismo' WHERE LanguageTag = 'totalabsentismo'</v>
      </c>
      <c r="P38" s="5" t="str">
        <f>CONCATENATE("UPDATE ",Database_ESP[[#This Row],[Table]]," SET ",Database_ESP[[#This Row],[Column]]," = '",Database_ESP[[#This Row],[ENG]],"' WHERE LanguageTag = '",Database_ESP[[#This Row],[Tag]],"'")</f>
        <v>UPDATE concepts SET name = 'Total absenteeism' WHERE LanguageTag = 'totalabsentismo'</v>
      </c>
      <c r="Q38" s="5" t="str">
        <f>CONCATENATE("UPDATE ",Database_ESP[[#This Row],[Table]]," SET ",Database_ESP[[#This Row],[Column]]," = '",Database_ESP[[#This Row],[FR]],"' WHERE LanguageTag = '",Database_ESP[[#This Row],[Tag]],"'")</f>
        <v>UPDATE concepts SET name = 'Absentéisme total' WHERE LanguageTag = 'totalabsentismo'</v>
      </c>
      <c r="R38" s="5" t="str">
        <f>CONCATENATE("UPDATE ",Database_ESP[[#This Row],[Table]]," SET ",Database_ESP[[#This Row],[Column]]," = '",Database_ESP[[#This Row],[IT]],"' WHERE LanguageTag = '",Database_ESP[[#This Row],[Tag]],"'")</f>
        <v>UPDATE concepts SET name = 'Assenteismo totale' WHERE LanguageTag = 'totalabsentismo'</v>
      </c>
      <c r="S38" s="5" t="str">
        <f>CONCATENATE("UPDATE ",Database_ESP[[#This Row],[Table]]," SET ",Database_ESP[[#This Row],[Column]]," = '",Database_ESP[[#This Row],[SK]],"' WHERE LanguageTag = '",Database_ESP[[#This Row],[Tag]],"'")</f>
        <v>UPDATE concepts SET name = 'Celková absencia' WHERE LanguageTag = 'totalabsentismo'</v>
      </c>
    </row>
    <row r="39" spans="1:19" ht="60" x14ac:dyDescent="0.25">
      <c r="A39" s="2" t="s">
        <v>805</v>
      </c>
      <c r="B39" s="2" t="str">
        <f t="shared" si="4"/>
        <v>RES_database_one.concepts.totalhorascomplementarias.description.rotext</v>
      </c>
      <c r="C39" s="2" t="str">
        <f t="shared" si="5"/>
        <v>concepts</v>
      </c>
      <c r="D39" s="2" t="str">
        <f t="shared" si="6"/>
        <v>totalhorascomplementarias</v>
      </c>
      <c r="E39" s="2" t="str">
        <f t="shared" si="7"/>
        <v>description</v>
      </c>
      <c r="F39" s="2" t="str">
        <f t="shared" si="8"/>
        <v>Horas complementarias para contratos a tiempo parcial.</v>
      </c>
      <c r="G39" s="1" t="s">
        <v>62</v>
      </c>
      <c r="H39" s="1" t="s">
        <v>129</v>
      </c>
      <c r="I39" s="1" t="s">
        <v>483</v>
      </c>
      <c r="J39" s="1" t="s">
        <v>547</v>
      </c>
      <c r="K39" s="1" t="s">
        <v>268</v>
      </c>
      <c r="L39" s="1" t="s">
        <v>345</v>
      </c>
      <c r="M39" s="1" t="s">
        <v>422</v>
      </c>
      <c r="N39" s="5" t="str">
        <f>CONCATENATE("UPDATE ",Database_ESP[[#This Row],[Table]]," SET ",Database_ESP[[#This Row],[Column]]," = '",Database_ESP[[#This Row],[POR.XAVI.INICIAL]],"' WHERE LanguageTag = '",Database_ESP[[#This Row],[Tag]],"'")</f>
        <v>UPDATE concepts SET description = 'Nascimento de um filho' WHERE LanguageTag = 'totalhorascomplementarias'</v>
      </c>
      <c r="O39" s="5" t="str">
        <f>CONCATENATE("UPDATE ",Database_ESP[[#This Row],[Table]]," SET ",Database_ESP[[#This Row],[Column]]," = '",Database_ESP[[#This Row],[ESP]],"' WHERE LanguageTag = '",Database_ESP[[#This Row],[Tag]],"'")</f>
        <v>UPDATE concepts SET description = 'Horas complementarias para contratos a tiempo parcial.' WHERE LanguageTag = 'totalhorascomplementarias'</v>
      </c>
      <c r="P39" s="5" t="str">
        <f>CONCATENATE("UPDATE ",Database_ESP[[#This Row],[Table]]," SET ",Database_ESP[[#This Row],[Column]]," = '",Database_ESP[[#This Row],[ENG]],"' WHERE LanguageTag = '",Database_ESP[[#This Row],[Tag]],"'")</f>
        <v>UPDATE concepts SET description = 'Additional hours for part-time contracts.' WHERE LanguageTag = 'totalhorascomplementarias'</v>
      </c>
      <c r="Q39" s="5" t="str">
        <f>CONCATENATE("UPDATE ",Database_ESP[[#This Row],[Table]]," SET ",Database_ESP[[#This Row],[Column]]," = '",Database_ESP[[#This Row],[FR]],"' WHERE LanguageTag = '",Database_ESP[[#This Row],[Tag]],"'")</f>
        <v>UPDATE concepts SET description = 'Heures supplémentaires pour les contrats à temps partiel.' WHERE LanguageTag = 'totalhorascomplementarias'</v>
      </c>
      <c r="R39" s="5" t="str">
        <f>CONCATENATE("UPDATE ",Database_ESP[[#This Row],[Table]]," SET ",Database_ESP[[#This Row],[Column]]," = '",Database_ESP[[#This Row],[IT]],"' WHERE LanguageTag = '",Database_ESP[[#This Row],[Tag]],"'")</f>
        <v>UPDATE concepts SET description = 'Ore aggiuntive per contratti part-time.' WHERE LanguageTag = 'totalhorascomplementarias'</v>
      </c>
      <c r="S39" s="5" t="str">
        <f>CONCATENATE("UPDATE ",Database_ESP[[#This Row],[Table]]," SET ",Database_ESP[[#This Row],[Column]]," = '",Database_ESP[[#This Row],[SK]],"' WHERE LanguageTag = '",Database_ESP[[#This Row],[Tag]],"'")</f>
        <v>UPDATE concepts SET description = 'Ďalšie hodiny pre zmluvy na čiastočný úväzok.' WHERE LanguageTag = 'totalhorascomplementarias'</v>
      </c>
    </row>
    <row r="40" spans="1:19" ht="60" x14ac:dyDescent="0.25">
      <c r="A40" s="2" t="s">
        <v>806</v>
      </c>
      <c r="B40" s="2" t="str">
        <f t="shared" si="4"/>
        <v>RES_database_one.concepts.totalhorascomplementarias.name.rotext</v>
      </c>
      <c r="C40" s="2" t="str">
        <f t="shared" si="5"/>
        <v>concepts</v>
      </c>
      <c r="D40" s="2" t="str">
        <f t="shared" si="6"/>
        <v>totalhorascomplementarias</v>
      </c>
      <c r="E40" s="2" t="str">
        <f t="shared" si="7"/>
        <v>name</v>
      </c>
      <c r="F40" s="2" t="str">
        <f t="shared" si="8"/>
        <v>Total horas complementarias</v>
      </c>
      <c r="G40" s="1" t="s">
        <v>900</v>
      </c>
      <c r="H40" s="1" t="s">
        <v>126</v>
      </c>
      <c r="I40" s="1" t="s">
        <v>737</v>
      </c>
      <c r="J40" s="1" t="s">
        <v>548</v>
      </c>
      <c r="K40" s="1" t="s">
        <v>644</v>
      </c>
      <c r="L40" s="1" t="s">
        <v>674</v>
      </c>
      <c r="M40" s="1" t="s">
        <v>611</v>
      </c>
      <c r="N40" s="5" t="str">
        <f>CONCATENATE("UPDATE ",Database_ESP[[#This Row],[Table]]," SET ",Database_ESP[[#This Row],[Column]]," = '",Database_ESP[[#This Row],[POR.XAVI.INICIAL]],"' WHERE LanguageTag = '",Database_ESP[[#This Row],[Tag]],"'")</f>
        <v>UPDATE concepts SET name = 'Licença de força maior' WHERE LanguageTag = 'totalhorascomplementarias'</v>
      </c>
      <c r="O40" s="5" t="str">
        <f>CONCATENATE("UPDATE ",Database_ESP[[#This Row],[Table]]," SET ",Database_ESP[[#This Row],[Column]]," = '",Database_ESP[[#This Row],[ESP]],"' WHERE LanguageTag = '",Database_ESP[[#This Row],[Tag]],"'")</f>
        <v>UPDATE concepts SET name = 'Total horas complementarias' WHERE LanguageTag = 'totalhorascomplementarias'</v>
      </c>
      <c r="P40" s="5" t="str">
        <f>CONCATENATE("UPDATE ",Database_ESP[[#This Row],[Table]]," SET ",Database_ESP[[#This Row],[Column]]," = '",Database_ESP[[#This Row],[ENG]],"' WHERE LanguageTag = '",Database_ESP[[#This Row],[Tag]],"'")</f>
        <v>UPDATE concepts SET name = 'Total supplementary hours' WHERE LanguageTag = 'totalhorascomplementarias'</v>
      </c>
      <c r="Q40" s="5" t="str">
        <f>CONCATENATE("UPDATE ",Database_ESP[[#This Row],[Table]]," SET ",Database_ESP[[#This Row],[Column]]," = '",Database_ESP[[#This Row],[FR]],"' WHERE LanguageTag = '",Database_ESP[[#This Row],[Tag]],"'")</f>
        <v>UPDATE concepts SET name = 'Total des heures supplémentaires' WHERE LanguageTag = 'totalhorascomplementarias'</v>
      </c>
      <c r="R40" s="5" t="str">
        <f>CONCATENATE("UPDATE ",Database_ESP[[#This Row],[Table]]," SET ",Database_ESP[[#This Row],[Column]]," = '",Database_ESP[[#This Row],[IT]],"' WHERE LanguageTag = '",Database_ESP[[#This Row],[Tag]],"'")</f>
        <v>UPDATE concepts SET name = 'Totale ore aggiuntive' WHERE LanguageTag = 'totalhorascomplementarias'</v>
      </c>
      <c r="S40" s="5" t="str">
        <f>CONCATENATE("UPDATE ",Database_ESP[[#This Row],[Table]]," SET ",Database_ESP[[#This Row],[Column]]," = '",Database_ESP[[#This Row],[SK]],"' WHERE LanguageTag = '",Database_ESP[[#This Row],[Tag]],"'")</f>
        <v>UPDATE concepts SET name = 'Celkový počet hodín navyše' WHERE LanguageTag = 'totalhorascomplementarias'</v>
      </c>
    </row>
    <row r="41" spans="1:19" ht="60" x14ac:dyDescent="0.25">
      <c r="A41" s="2" t="s">
        <v>807</v>
      </c>
      <c r="B41" s="2" t="str">
        <f t="shared" si="4"/>
        <v>RES_database_one.concepts.totalhorasextras.description.rotext</v>
      </c>
      <c r="C41" s="2" t="str">
        <f t="shared" si="5"/>
        <v>concepts</v>
      </c>
      <c r="D41" s="2" t="str">
        <f t="shared" si="6"/>
        <v>totalhorasextras</v>
      </c>
      <c r="E41" s="2" t="str">
        <f t="shared" si="7"/>
        <v>description</v>
      </c>
      <c r="F41" s="2" t="str">
        <f t="shared" si="8"/>
        <v xml:space="preserve">Horas extraordinarias. </v>
      </c>
      <c r="G41" s="1" t="s">
        <v>901</v>
      </c>
      <c r="H41" s="1" t="s">
        <v>126</v>
      </c>
      <c r="I41" s="1" t="s">
        <v>738</v>
      </c>
      <c r="J41" s="1" t="s">
        <v>549</v>
      </c>
      <c r="K41" s="1" t="s">
        <v>645</v>
      </c>
      <c r="L41" s="1" t="s">
        <v>675</v>
      </c>
      <c r="M41" s="1" t="s">
        <v>612</v>
      </c>
      <c r="N41" s="5" t="str">
        <f>CONCATENATE("UPDATE ",Database_ESP[[#This Row],[Table]]," SET ",Database_ESP[[#This Row],[Column]]," = '",Database_ESP[[#This Row],[POR.XAVI.INICIAL]],"' WHERE LanguageTag = '",Database_ESP[[#This Row],[Tag]],"'")</f>
        <v>UPDATE concepts SET description = 'Licença de força maior' WHERE LanguageTag = 'totalhorasextras'</v>
      </c>
      <c r="O41" s="5" t="str">
        <f>CONCATENATE("UPDATE ",Database_ESP[[#This Row],[Table]]," SET ",Database_ESP[[#This Row],[Column]]," = '",Database_ESP[[#This Row],[ESP]],"' WHERE LanguageTag = '",Database_ESP[[#This Row],[Tag]],"'")</f>
        <v>UPDATE concepts SET description = 'Horas extraordinarias. ' WHERE LanguageTag = 'totalhorasextras'</v>
      </c>
      <c r="P41" s="5" t="str">
        <f>CONCATENATE("UPDATE ",Database_ESP[[#This Row],[Table]]," SET ",Database_ESP[[#This Row],[Column]]," = '",Database_ESP[[#This Row],[ENG]],"' WHERE LanguageTag = '",Database_ESP[[#This Row],[Tag]],"'")</f>
        <v>UPDATE concepts SET description = 'Overtime.' WHERE LanguageTag = 'totalhorasextras'</v>
      </c>
      <c r="Q41" s="5" t="str">
        <f>CONCATENATE("UPDATE ",Database_ESP[[#This Row],[Table]]," SET ",Database_ESP[[#This Row],[Column]]," = '",Database_ESP[[#This Row],[FR]],"' WHERE LanguageTag = '",Database_ESP[[#This Row],[Tag]],"'")</f>
        <v>UPDATE concepts SET description = 'Heures supplémentaires.' WHERE LanguageTag = 'totalhorasextras'</v>
      </c>
      <c r="R41" s="5" t="str">
        <f>CONCATENATE("UPDATE ",Database_ESP[[#This Row],[Table]]," SET ",Database_ESP[[#This Row],[Column]]," = '",Database_ESP[[#This Row],[IT]],"' WHERE LanguageTag = '",Database_ESP[[#This Row],[Tag]],"'")</f>
        <v>UPDATE concepts SET description = 'Straordinari.' WHERE LanguageTag = 'totalhorasextras'</v>
      </c>
      <c r="S41" s="5" t="str">
        <f>CONCATENATE("UPDATE ",Database_ESP[[#This Row],[Table]]," SET ",Database_ESP[[#This Row],[Column]]," = '",Database_ESP[[#This Row],[SK]],"' WHERE LanguageTag = '",Database_ESP[[#This Row],[Tag]],"'")</f>
        <v>UPDATE concepts SET description = 'Nadčasy.' WHERE LanguageTag = 'totalhorasextras'</v>
      </c>
    </row>
    <row r="42" spans="1:19" ht="90" x14ac:dyDescent="0.25">
      <c r="A42" s="2" t="s">
        <v>808</v>
      </c>
      <c r="B42" s="2" t="str">
        <f t="shared" si="4"/>
        <v>RES_database_one.concepts.totalhorasextras.name.rotext</v>
      </c>
      <c r="C42" s="2" t="str">
        <f t="shared" si="5"/>
        <v>concepts</v>
      </c>
      <c r="D42" s="2" t="str">
        <f t="shared" si="6"/>
        <v>totalhorasextras</v>
      </c>
      <c r="E42" s="2" t="str">
        <f t="shared" si="7"/>
        <v>name</v>
      </c>
      <c r="F42" s="2" t="str">
        <f t="shared" si="8"/>
        <v xml:space="preserve">Total horas extras </v>
      </c>
      <c r="G42" s="1" t="s">
        <v>902</v>
      </c>
      <c r="H42" s="1" t="s">
        <v>125</v>
      </c>
      <c r="I42" s="1" t="s">
        <v>739</v>
      </c>
      <c r="J42" s="1" t="s">
        <v>550</v>
      </c>
      <c r="K42" s="1" t="s">
        <v>644</v>
      </c>
      <c r="L42" s="1" t="s">
        <v>676</v>
      </c>
      <c r="M42" s="1" t="s">
        <v>613</v>
      </c>
      <c r="N42" s="5" t="str">
        <f>CONCATENATE("UPDATE ",Database_ESP[[#This Row],[Table]]," SET ",Database_ESP[[#This Row],[Column]]," = '",Database_ESP[[#This Row],[POR.XAVI.INICIAL]],"' WHERE LanguageTag = '",Database_ESP[[#This Row],[Tag]],"'")</f>
        <v>UPDATE concepts SET name = '8 semanas de licença parental' WHERE LanguageTag = 'totalhorasextras'</v>
      </c>
      <c r="O42" s="5" t="str">
        <f>CONCATENATE("UPDATE ",Database_ESP[[#This Row],[Table]]," SET ",Database_ESP[[#This Row],[Column]]," = '",Database_ESP[[#This Row],[ESP]],"' WHERE LanguageTag = '",Database_ESP[[#This Row],[Tag]],"'")</f>
        <v>UPDATE concepts SET name = 'Total horas extras ' WHERE LanguageTag = 'totalhorasextras'</v>
      </c>
      <c r="P42" s="5" t="str">
        <f>CONCATENATE("UPDATE ",Database_ESP[[#This Row],[Table]]," SET ",Database_ESP[[#This Row],[Column]]," = '",Database_ESP[[#This Row],[ENG]],"' WHERE LanguageTag = '",Database_ESP[[#This Row],[Tag]],"'")</f>
        <v>UPDATE concepts SET name = 'Total overtime' WHERE LanguageTag = 'totalhorasextras'</v>
      </c>
      <c r="Q42" s="5" t="str">
        <f>CONCATENATE("UPDATE ",Database_ESP[[#This Row],[Table]]," SET ",Database_ESP[[#This Row],[Column]]," = '",Database_ESP[[#This Row],[FR]],"' WHERE LanguageTag = '",Database_ESP[[#This Row],[Tag]],"'")</f>
        <v>UPDATE concepts SET name = 'Total des heures supplémentaires' WHERE LanguageTag = 'totalhorasextras'</v>
      </c>
      <c r="R42" s="5" t="str">
        <f>CONCATENATE("UPDATE ",Database_ESP[[#This Row],[Table]]," SET ",Database_ESP[[#This Row],[Column]]," = '",Database_ESP[[#This Row],[IT]],"' WHERE LanguageTag = '",Database_ESP[[#This Row],[Tag]],"'")</f>
        <v>UPDATE concepts SET name = 'Totale ore di lavoro straordinario' WHERE LanguageTag = 'totalhorasextras'</v>
      </c>
      <c r="S42" s="5" t="str">
        <f>CONCATENATE("UPDATE ",Database_ESP[[#This Row],[Table]]," SET ",Database_ESP[[#This Row],[Column]]," = '",Database_ESP[[#This Row],[SK]],"' WHERE LanguageTag = '",Database_ESP[[#This Row],[Tag]],"'")</f>
        <v>UPDATE concepts SET name = 'Nadčasy spolu' WHERE LanguageTag = 'totalhorasextras'</v>
      </c>
    </row>
    <row r="43" spans="1:19" ht="90" x14ac:dyDescent="0.25">
      <c r="A43" s="2" t="s">
        <v>809</v>
      </c>
      <c r="B43" s="2" t="str">
        <f t="shared" si="4"/>
        <v>RES_database_one.concepts.trabajoefectivo.description.rotext</v>
      </c>
      <c r="C43" s="2" t="str">
        <f t="shared" si="5"/>
        <v>concepts</v>
      </c>
      <c r="D43" s="2" t="str">
        <f t="shared" si="6"/>
        <v>trabajoefectivo</v>
      </c>
      <c r="E43" s="2" t="str">
        <f t="shared" si="7"/>
        <v>description</v>
      </c>
      <c r="F43" s="2" t="str">
        <f t="shared" si="8"/>
        <v>Todo el tiempo que se considera trabajo efectivo, sin contar excesos.</v>
      </c>
      <c r="G43" s="1" t="s">
        <v>58</v>
      </c>
      <c r="H43" s="1" t="s">
        <v>125</v>
      </c>
      <c r="I43" s="1" t="s">
        <v>484</v>
      </c>
      <c r="J43" s="1" t="s">
        <v>217</v>
      </c>
      <c r="K43" s="1" t="s">
        <v>270</v>
      </c>
      <c r="L43" s="1" t="s">
        <v>347</v>
      </c>
      <c r="M43" s="1" t="s">
        <v>424</v>
      </c>
      <c r="N43" s="5" t="str">
        <f>CONCATENATE("UPDATE ",Database_ESP[[#This Row],[Table]]," SET ",Database_ESP[[#This Row],[Column]]," = '",Database_ESP[[#This Row],[POR.XAVI.INICIAL]],"' WHERE LanguageTag = '",Database_ESP[[#This Row],[Tag]],"'")</f>
        <v>UPDATE concepts SET description = '8 semanas de licença parental' WHERE LanguageTag = 'trabajoefectivo'</v>
      </c>
      <c r="O43" s="5" t="str">
        <f>CONCATENATE("UPDATE ",Database_ESP[[#This Row],[Table]]," SET ",Database_ESP[[#This Row],[Column]]," = '",Database_ESP[[#This Row],[ESP]],"' WHERE LanguageTag = '",Database_ESP[[#This Row],[Tag]],"'")</f>
        <v>UPDATE concepts SET description = 'Todo el tiempo que se considera trabajo efectivo, sin contar excesos.' WHERE LanguageTag = 'trabajoefectivo'</v>
      </c>
      <c r="P43" s="5" t="str">
        <f>CONCATENATE("UPDATE ",Database_ESP[[#This Row],[Table]]," SET ",Database_ESP[[#This Row],[Column]]," = '",Database_ESP[[#This Row],[ENG]],"' WHERE LanguageTag = '",Database_ESP[[#This Row],[Tag]],"'")</f>
        <v>UPDATE concepts SET description = 'All the time that is considered effective work, not counting overtime.' WHERE LanguageTag = 'trabajoefectivo'</v>
      </c>
      <c r="Q43" s="5" t="str">
        <f>CONCATENATE("UPDATE ",Database_ESP[[#This Row],[Table]]," SET ",Database_ESP[[#This Row],[Column]]," = '",Database_ESP[[#This Row],[FR]],"' WHERE LanguageTag = '",Database_ESP[[#This Row],[Tag]],"'")</f>
        <v>UPDATE concepts SET description = 'Tout le temps considéré comme du travail effectif, à l'exclusion des heures supplémentaires.' WHERE LanguageTag = 'trabajoefectivo'</v>
      </c>
      <c r="R43" s="5" t="str">
        <f>CONCATENATE("UPDATE ",Database_ESP[[#This Row],[Table]]," SET ",Database_ESP[[#This Row],[Column]]," = '",Database_ESP[[#This Row],[IT]],"' WHERE LanguageTag = '",Database_ESP[[#This Row],[Tag]],"'")</f>
        <v>UPDATE concepts SET description = 'Tutto il tempo che viene considerato lavoro effettivo, esclusi gli straordinari.' WHERE LanguageTag = 'trabajoefectivo'</v>
      </c>
      <c r="S43" s="5" t="str">
        <f>CONCATENATE("UPDATE ",Database_ESP[[#This Row],[Table]]," SET ",Database_ESP[[#This Row],[Column]]," = '",Database_ESP[[#This Row],[SK]],"' WHERE LanguageTag = '",Database_ESP[[#This Row],[Tag]],"'")</f>
        <v>UPDATE concepts SET description = 'Celý čas, ktorý sa považuje za efektívnu prácu, okrem nadčasov.' WHERE LanguageTag = 'trabajoefectivo'</v>
      </c>
    </row>
    <row r="44" spans="1:19" ht="240" x14ac:dyDescent="0.25">
      <c r="A44" s="2" t="s">
        <v>810</v>
      </c>
      <c r="B44" s="2" t="str">
        <f t="shared" si="4"/>
        <v>RES_database_one.concepts.trabajoefectivo.name.rotext</v>
      </c>
      <c r="C44" s="2" t="str">
        <f t="shared" si="5"/>
        <v>concepts</v>
      </c>
      <c r="D44" s="2" t="str">
        <f t="shared" si="6"/>
        <v>trabajoefectivo</v>
      </c>
      <c r="E44" s="2" t="str">
        <f t="shared" si="7"/>
        <v>name</v>
      </c>
      <c r="F44" s="2" t="str">
        <f t="shared" si="8"/>
        <v>Trabajo efectivo</v>
      </c>
      <c r="G44" s="1" t="s">
        <v>56</v>
      </c>
      <c r="H44" s="1" t="s">
        <v>193</v>
      </c>
      <c r="I44" s="1" t="s">
        <v>163</v>
      </c>
      <c r="J44" s="1" t="s">
        <v>218</v>
      </c>
      <c r="K44" s="1" t="s">
        <v>271</v>
      </c>
      <c r="L44" s="1" t="s">
        <v>348</v>
      </c>
      <c r="M44" s="1" t="s">
        <v>425</v>
      </c>
      <c r="N44" s="5" t="str">
        <f>CONCATENATE("UPDATE ",Database_ESP[[#This Row],[Table]]," SET ",Database_ESP[[#This Row],[Column]]," = '",Database_ESP[[#This Row],[POR.XAVI.INICIAL]],"' WHERE LanguageTag = '",Database_ESP[[#This Row],[Tag]],"'")</f>
        <v>UPDATE concepts SET name = 'Licença para assistência a familiares do 2.º grau ou a pessoas que vivam em união de facto' WHERE LanguageTag = 'trabajoefectivo'</v>
      </c>
      <c r="O44" s="5" t="str">
        <f>CONCATENATE("UPDATE ",Database_ESP[[#This Row],[Table]]," SET ",Database_ESP[[#This Row],[Column]]," = '",Database_ESP[[#This Row],[ESP]],"' WHERE LanguageTag = '",Database_ESP[[#This Row],[Tag]],"'")</f>
        <v>UPDATE concepts SET name = 'Trabajo efectivo' WHERE LanguageTag = 'trabajoefectivo'</v>
      </c>
      <c r="P44" s="5" t="str">
        <f>CONCATENATE("UPDATE ",Database_ESP[[#This Row],[Table]]," SET ",Database_ESP[[#This Row],[Column]]," = '",Database_ESP[[#This Row],[ENG]],"' WHERE LanguageTag = '",Database_ESP[[#This Row],[Tag]],"'")</f>
        <v>UPDATE concepts SET name = 'Effective work' WHERE LanguageTag = 'trabajoefectivo'</v>
      </c>
      <c r="Q44" s="5" t="str">
        <f>CONCATENATE("UPDATE ",Database_ESP[[#This Row],[Table]]," SET ",Database_ESP[[#This Row],[Column]]," = '",Database_ESP[[#This Row],[FR]],"' WHERE LanguageTag = '",Database_ESP[[#This Row],[Tag]],"'")</f>
        <v>UPDATE concepts SET name = 'Un travail efficace' WHERE LanguageTag = 'trabajoefectivo'</v>
      </c>
      <c r="R44" s="5" t="str">
        <f>CONCATENATE("UPDATE ",Database_ESP[[#This Row],[Table]]," SET ",Database_ESP[[#This Row],[Column]]," = '",Database_ESP[[#This Row],[IT]],"' WHERE LanguageTag = '",Database_ESP[[#This Row],[Tag]],"'")</f>
        <v>UPDATE concepts SET name = 'Lavoro efficace' WHERE LanguageTag = 'trabajoefectivo'</v>
      </c>
      <c r="S44" s="5" t="str">
        <f>CONCATENATE("UPDATE ",Database_ESP[[#This Row],[Table]]," SET ",Database_ESP[[#This Row],[Column]]," = '",Database_ESP[[#This Row],[SK]],"' WHERE LanguageTag = '",Database_ESP[[#This Row],[Tag]],"'")</f>
        <v>UPDATE concepts SET name = 'Efektívna práca' WHERE LanguageTag = 'trabajoefectivo'</v>
      </c>
    </row>
    <row r="45" spans="1:19" ht="240" x14ac:dyDescent="0.25">
      <c r="A45" s="2" t="s">
        <v>811</v>
      </c>
      <c r="B45" s="2" t="str">
        <f t="shared" si="4"/>
        <v>RES_database_one.concepts.vacacionespendientes.description.rotext</v>
      </c>
      <c r="C45" s="2" t="str">
        <f t="shared" si="5"/>
        <v>concepts</v>
      </c>
      <c r="D45" s="2" t="str">
        <f t="shared" si="6"/>
        <v>vacacionespendientes</v>
      </c>
      <c r="E45" s="2" t="str">
        <f t="shared" si="7"/>
        <v>description</v>
      </c>
      <c r="F45" s="2" t="str">
        <f t="shared" si="8"/>
        <v>Este saldo muestra las vacaciones pendientes de disfrutar.   Saldo inicial de vacaciones - vacaciones disfrutadas = vacaciones pendientes</v>
      </c>
      <c r="G45" s="1" t="s">
        <v>61</v>
      </c>
      <c r="H45" s="1" t="s">
        <v>194</v>
      </c>
      <c r="I45" s="1" t="s">
        <v>740</v>
      </c>
      <c r="J45" s="1" t="s">
        <v>551</v>
      </c>
      <c r="K45" s="1" t="s">
        <v>272</v>
      </c>
      <c r="L45" s="1" t="s">
        <v>349</v>
      </c>
      <c r="M45" s="1" t="s">
        <v>426</v>
      </c>
      <c r="N45" s="5" t="str">
        <f>CONCATENATE("UPDATE ",Database_ESP[[#This Row],[Table]]," SET ",Database_ESP[[#This Row],[Column]]," = '",Database_ESP[[#This Row],[POR.XAVI.INICIAL]],"' WHERE LanguageTag = '",Database_ESP[[#This Row],[Tag]],"'")</f>
        <v>UPDATE concepts SET description = 'Licença para assistência a familiares de 2.º grau ou a pessoas que vivam em união de facto' WHERE LanguageTag = 'vacacionespendientes'</v>
      </c>
      <c r="O45" s="5" t="str">
        <f>CONCATENATE("UPDATE ",Database_ESP[[#This Row],[Table]]," SET ",Database_ESP[[#This Row],[Column]]," = '",Database_ESP[[#This Row],[ESP]],"' WHERE LanguageTag = '",Database_ESP[[#This Row],[Tag]],"'")</f>
        <v>UPDATE concepts SET description = 'Este saldo muestra las vacaciones pendientes de disfrutar.   Saldo inicial de vacaciones - vacaciones disfrutadas = vacaciones pendientes' WHERE LanguageTag = 'vacacionespendientes'</v>
      </c>
      <c r="P45" s="5" t="str">
        <f>CONCATENATE("UPDATE ",Database_ESP[[#This Row],[Table]]," SET ",Database_ESP[[#This Row],[Column]]," = '",Database_ESP[[#This Row],[ENG]],"' WHERE LanguageTag = '",Database_ESP[[#This Row],[Tag]],"'")</f>
        <v>UPDATE concepts SET description = 'This balance shows the vacations pending to be taken. Initial vacation balance - vacations taken = pending vacations' WHERE LanguageTag = 'vacacionespendientes'</v>
      </c>
      <c r="Q45" s="5" t="str">
        <f>CONCATENATE("UPDATE ",Database_ESP[[#This Row],[Table]]," SET ",Database_ESP[[#This Row],[Column]]," = '",Database_ESP[[#This Row],[FR]],"' WHERE LanguageTag = '",Database_ESP[[#This Row],[Tag]],"'")</f>
        <v>UPDATE concepts SET description = 'Ce solde indique les congés restant à prendre.   Solde initial des congés - congés pris = congés restant à prendre' WHERE LanguageTag = 'vacacionespendientes'</v>
      </c>
      <c r="R45" s="5" t="str">
        <f>CONCATENATE("UPDATE ",Database_ESP[[#This Row],[Table]]," SET ",Database_ESP[[#This Row],[Column]]," = '",Database_ESP[[#This Row],[IT]],"' WHERE LanguageTag = '",Database_ESP[[#This Row],[Tag]],"'")</f>
        <v>UPDATE concepts SET description = 'Questo saldo indica le ferie ancora da prendere.   Saldo iniziale delle ferie - ferie godute = ferie arretrate' WHERE LanguageTag = 'vacacionespendientes'</v>
      </c>
      <c r="S45" s="5" t="str">
        <f>CONCATENATE("UPDATE ",Database_ESP[[#This Row],[Table]]," SET ",Database_ESP[[#This Row],[Column]]," = '",Database_ESP[[#This Row],[SK]],"' WHERE LanguageTag = '",Database_ESP[[#This Row],[Tag]],"'")</f>
        <v>UPDATE concepts SET description = 'Tento zostatok zobrazuje nevyčerpanú dovolenku, ktorá sa má vyčerpať.   Počiatočný zostatok dovolenky - vyčerpaná dovolenka = nevyčerpaná dovolenka' WHERE LanguageTag = 'vacacionespendientes'</v>
      </c>
    </row>
    <row r="46" spans="1:19" ht="409.5" x14ac:dyDescent="0.25">
      <c r="A46" s="2" t="s">
        <v>812</v>
      </c>
      <c r="B46" s="2" t="str">
        <f t="shared" si="4"/>
        <v>RES_database_one.concepts.vacacionespendientes.name.rotext</v>
      </c>
      <c r="C46" s="2" t="str">
        <f t="shared" si="5"/>
        <v>concepts</v>
      </c>
      <c r="D46" s="2" t="str">
        <f t="shared" si="6"/>
        <v>vacacionespendientes</v>
      </c>
      <c r="E46" s="2" t="str">
        <f t="shared" si="7"/>
        <v>name</v>
      </c>
      <c r="F46" s="2" t="str">
        <f t="shared" si="8"/>
        <v>Vacaciones pendientes</v>
      </c>
      <c r="G46" s="1" t="s">
        <v>57</v>
      </c>
      <c r="H46" s="1" t="s">
        <v>195</v>
      </c>
      <c r="I46" s="1" t="s">
        <v>741</v>
      </c>
      <c r="J46" s="1" t="s">
        <v>552</v>
      </c>
      <c r="K46" s="1" t="s">
        <v>273</v>
      </c>
      <c r="L46" s="1" t="s">
        <v>350</v>
      </c>
      <c r="M46" s="1" t="s">
        <v>427</v>
      </c>
      <c r="N46" s="5" t="str">
        <f>CONCATENATE("UPDATE ",Database_ESP[[#This Row],[Table]]," SET ",Database_ESP[[#This Row],[Column]]," = '",Database_ESP[[#This Row],[POR.XAVI.INICIAL]],"' WHERE LanguageTag = '",Database_ESP[[#This Row],[Tag]],"'")</f>
        <v>UPDATE concepts SET name = 'Esta licença pode ser gozada por qualquer motivo, exceto se a convenção aplicável dispuser em contrário e se existir um acordo entre a entidade patronal e o trabalhador. Suspende a obrigação de trabalhar e de pagar o salário correspondente ao tempo em que o trabalhador está ausente. Não são reguladas por lei (exceto em algumas convenções colectivas). As condições de utilização e gozo destas licenças/licenças são reguladas por acordos entre a entidade patronal e o trabalhador. ' WHERE LanguageTag = 'vacacionespendientes'</v>
      </c>
      <c r="O46" s="5" t="str">
        <f>CONCATENATE("UPDATE ",Database_ESP[[#This Row],[Table]]," SET ",Database_ESP[[#This Row],[Column]]," = '",Database_ESP[[#This Row],[ESP]],"' WHERE LanguageTag = '",Database_ESP[[#This Row],[Tag]],"'")</f>
        <v>UPDATE concepts SET name = 'Vacaciones pendientes' WHERE LanguageTag = 'vacacionespendientes'</v>
      </c>
      <c r="P46" s="5" t="str">
        <f>CONCATENATE("UPDATE ",Database_ESP[[#This Row],[Table]]," SET ",Database_ESP[[#This Row],[Column]]," = '",Database_ESP[[#This Row],[ENG]],"' WHERE LanguageTag = '",Database_ESP[[#This Row],[Tag]],"'")</f>
        <v>UPDATE concepts SET name = 'Pending holidays' WHERE LanguageTag = 'vacacionespendientes'</v>
      </c>
      <c r="Q46" s="5" t="str">
        <f>CONCATENATE("UPDATE ",Database_ESP[[#This Row],[Table]]," SET ",Database_ESP[[#This Row],[Column]]," = '",Database_ESP[[#This Row],[FR]],"' WHERE LanguageTag = '",Database_ESP[[#This Row],[Tag]],"'")</f>
        <v>UPDATE concepts SET name = 'Vacances en suspens' WHERE LanguageTag = 'vacacionespendientes'</v>
      </c>
      <c r="R46" s="5" t="str">
        <f>CONCATENATE("UPDATE ",Database_ESP[[#This Row],[Table]]," SET ",Database_ESP[[#This Row],[Column]]," = '",Database_ESP[[#This Row],[IT]],"' WHERE LanguageTag = '",Database_ESP[[#This Row],[Tag]],"'")</f>
        <v>UPDATE concepts SET name = 'Vacanze in attesa' WHERE LanguageTag = 'vacacionespendientes'</v>
      </c>
      <c r="S46" s="5" t="str">
        <f>CONCATENATE("UPDATE ",Database_ESP[[#This Row],[Table]]," SET ",Database_ESP[[#This Row],[Column]]," = '",Database_ESP[[#This Row],[SK]],"' WHERE LanguageTag = '",Database_ESP[[#This Row],[Tag]],"'")</f>
        <v>UPDATE concepts SET name = 'Dovolenka v očakávaní' WHERE LanguageTag = 'vacacionespendientes'</v>
      </c>
    </row>
    <row r="47" spans="1:19" ht="75" x14ac:dyDescent="0.25">
      <c r="A47" s="2" t="s">
        <v>813</v>
      </c>
      <c r="B47" s="2" t="str">
        <f t="shared" si="4"/>
        <v>RES_database_one.groups.miempresa.name.rotext</v>
      </c>
      <c r="C47" s="2" t="str">
        <f t="shared" si="5"/>
        <v>groups</v>
      </c>
      <c r="D47" s="2" t="str">
        <f t="shared" si="6"/>
        <v>miempresa</v>
      </c>
      <c r="E47" s="2" t="str">
        <f t="shared" si="7"/>
        <v>name</v>
      </c>
      <c r="F47" s="2" t="str">
        <f t="shared" si="8"/>
        <v>Mi empresa</v>
      </c>
      <c r="G47" s="1" t="s">
        <v>70</v>
      </c>
      <c r="H47" s="1" t="s">
        <v>144</v>
      </c>
      <c r="I47" s="1" t="s">
        <v>16</v>
      </c>
      <c r="J47" s="1" t="s">
        <v>219</v>
      </c>
      <c r="K47" s="1" t="s">
        <v>274</v>
      </c>
      <c r="L47" s="1" t="s">
        <v>351</v>
      </c>
      <c r="M47" s="1" t="s">
        <v>428</v>
      </c>
      <c r="N47" s="5" t="str">
        <f>CONCATENATE("UPDATE ",Database_ESP[[#This Row],[Table]]," SET ",Database_ESP[[#This Row],[Column]]," = '",Database_ESP[[#This Row],[POR.XAVI.INICIAL]],"' WHERE LanguageTag = '",Database_ESP[[#This Row],[Tag]],"'")</f>
        <v>UPDATE groups SET name = 'Licença legal não remunerada ' WHERE LanguageTag = 'miempresa'</v>
      </c>
      <c r="O47" s="5" t="str">
        <f>CONCATENATE("UPDATE ",Database_ESP[[#This Row],[Table]]," SET ",Database_ESP[[#This Row],[Column]]," = '",Database_ESP[[#This Row],[ESP]],"' WHERE LanguageTag = '",Database_ESP[[#This Row],[Tag]],"'")</f>
        <v>UPDATE groups SET name = 'Mi empresa' WHERE LanguageTag = 'miempresa'</v>
      </c>
      <c r="P47" s="5" t="str">
        <f>CONCATENATE("UPDATE ",Database_ESP[[#This Row],[Table]]," SET ",Database_ESP[[#This Row],[Column]]," = '",Database_ESP[[#This Row],[ENG]],"' WHERE LanguageTag = '",Database_ESP[[#This Row],[Tag]],"'")</f>
        <v>UPDATE groups SET name = 'My company' WHERE LanguageTag = 'miempresa'</v>
      </c>
      <c r="Q47" s="5" t="str">
        <f>CONCATENATE("UPDATE ",Database_ESP[[#This Row],[Table]]," SET ",Database_ESP[[#This Row],[Column]]," = '",Database_ESP[[#This Row],[FR]],"' WHERE LanguageTag = '",Database_ESP[[#This Row],[Tag]],"'")</f>
        <v>UPDATE groups SET name = 'Mon entreprise' WHERE LanguageTag = 'miempresa'</v>
      </c>
      <c r="R47" s="5" t="str">
        <f>CONCATENATE("UPDATE ",Database_ESP[[#This Row],[Table]]," SET ",Database_ESP[[#This Row],[Column]]," = '",Database_ESP[[#This Row],[IT]],"' WHERE LanguageTag = '",Database_ESP[[#This Row],[Tag]],"'")</f>
        <v>UPDATE groups SET name = 'La mia azienda' WHERE LanguageTag = 'miempresa'</v>
      </c>
      <c r="S47" s="5" t="str">
        <f>CONCATENATE("UPDATE ",Database_ESP[[#This Row],[Table]]," SET ",Database_ESP[[#This Row],[Column]]," = '",Database_ESP[[#This Row],[SK]],"' WHERE LanguageTag = '",Database_ESP[[#This Row],[Tag]],"'")</f>
        <v>UPDATE groups SET name = 'Moja spoločnosť' WHERE LanguageTag = 'miempresa'</v>
      </c>
    </row>
    <row r="48" spans="1:19" ht="409.5" x14ac:dyDescent="0.25">
      <c r="A48" s="2" t="s">
        <v>814</v>
      </c>
      <c r="B48" s="2" t="str">
        <f t="shared" si="4"/>
        <v>RES_database_one.labagree.reglasgenerales.name.rotext</v>
      </c>
      <c r="C48" s="2" t="str">
        <f t="shared" si="5"/>
        <v>labagree</v>
      </c>
      <c r="D48" s="2" t="str">
        <f t="shared" si="6"/>
        <v>reglasgenerales</v>
      </c>
      <c r="E48" s="2" t="str">
        <f t="shared" si="7"/>
        <v>name</v>
      </c>
      <c r="F48" s="2" t="str">
        <f t="shared" si="8"/>
        <v>Reglas generales</v>
      </c>
      <c r="G48" s="1" t="s">
        <v>107</v>
      </c>
      <c r="H48" s="1" t="s">
        <v>145</v>
      </c>
      <c r="I48" s="1" t="s">
        <v>29</v>
      </c>
      <c r="J48" s="1" t="s">
        <v>220</v>
      </c>
      <c r="K48" s="1" t="s">
        <v>275</v>
      </c>
      <c r="L48" s="1" t="s">
        <v>352</v>
      </c>
      <c r="M48" s="1" t="s">
        <v>429</v>
      </c>
      <c r="N48" s="5" t="str">
        <f>CONCATENATE("UPDATE ",Database_ESP[[#This Row],[Table]]," SET ",Database_ESP[[#This Row],[Column]]," = '",Database_ESP[[#This Row],[POR.XAVI.INICIAL]],"' WHERE LanguageTag = '",Database_ESP[[#This Row],[Tag]],"'")</f>
        <v>UPDATE labagree SET name = 'A licença remunerada é um tipo de ausência durante a qual o trabalhador continua a ser compensado financeiramente. As férias remuneradas são reguladas no artigo 37.º do Estatuto dos Trabalhadores e nas convenções colectivas.' WHERE LanguageTag = 'reglasgenerales'</v>
      </c>
      <c r="O48" s="5" t="str">
        <f>CONCATENATE("UPDATE ",Database_ESP[[#This Row],[Table]]," SET ",Database_ESP[[#This Row],[Column]]," = '",Database_ESP[[#This Row],[ESP]],"' WHERE LanguageTag = '",Database_ESP[[#This Row],[Tag]],"'")</f>
        <v>UPDATE labagree SET name = 'Reglas generales' WHERE LanguageTag = 'reglasgenerales'</v>
      </c>
      <c r="P48" s="5" t="str">
        <f>CONCATENATE("UPDATE ",Database_ESP[[#This Row],[Table]]," SET ",Database_ESP[[#This Row],[Column]]," = '",Database_ESP[[#This Row],[ENG]],"' WHERE LanguageTag = '",Database_ESP[[#This Row],[Tag]],"'")</f>
        <v>UPDATE labagree SET name = 'General rules' WHERE LanguageTag = 'reglasgenerales'</v>
      </c>
      <c r="Q48" s="5" t="str">
        <f>CONCATENATE("UPDATE ",Database_ESP[[#This Row],[Table]]," SET ",Database_ESP[[#This Row],[Column]]," = '",Database_ESP[[#This Row],[FR]],"' WHERE LanguageTag = '",Database_ESP[[#This Row],[Tag]],"'")</f>
        <v>UPDATE labagree SET name = 'Règles générales' WHERE LanguageTag = 'reglasgenerales'</v>
      </c>
      <c r="R48" s="5" t="str">
        <f>CONCATENATE("UPDATE ",Database_ESP[[#This Row],[Table]]," SET ",Database_ESP[[#This Row],[Column]]," = '",Database_ESP[[#This Row],[IT]],"' WHERE LanguageTag = '",Database_ESP[[#This Row],[Tag]],"'")</f>
        <v>UPDATE labagree SET name = 'Regole generali' WHERE LanguageTag = 'reglasgenerales'</v>
      </c>
      <c r="S48" s="5" t="str">
        <f>CONCATENATE("UPDATE ",Database_ESP[[#This Row],[Table]]," SET ",Database_ESP[[#This Row],[Column]]," = '",Database_ESP[[#This Row],[SK]],"' WHERE LanguageTag = '",Database_ESP[[#This Row],[Tag]],"'")</f>
        <v>UPDATE labagree SET name = 'Všeobecné pravidlá' WHERE LanguageTag = 'reglasgenerales'</v>
      </c>
    </row>
    <row r="49" spans="1:19" ht="60" x14ac:dyDescent="0.25">
      <c r="A49" s="2" t="s">
        <v>815</v>
      </c>
      <c r="B49" s="2" t="str">
        <f t="shared" si="4"/>
        <v>RES_database_one.requestsrules.nopedirvacacionessinohaysaldopositivo.name.rotext</v>
      </c>
      <c r="C49" s="2" t="str">
        <f t="shared" si="5"/>
        <v>requestsrules</v>
      </c>
      <c r="D49" s="2" t="str">
        <f t="shared" si="6"/>
        <v>nopedirvacacionessinohaysaldopositivo</v>
      </c>
      <c r="E49" s="2" t="str">
        <f t="shared" si="7"/>
        <v>name</v>
      </c>
      <c r="F49" s="2" t="str">
        <f t="shared" si="8"/>
        <v>No pedir vacaciones si no hay saldo positivo</v>
      </c>
      <c r="G49" s="1" t="s">
        <v>903</v>
      </c>
      <c r="H49" s="1" t="s">
        <v>146</v>
      </c>
      <c r="I49" s="1" t="s">
        <v>742</v>
      </c>
      <c r="J49" s="1" t="s">
        <v>553</v>
      </c>
      <c r="K49" s="1" t="s">
        <v>646</v>
      </c>
      <c r="L49" s="1" t="s">
        <v>677</v>
      </c>
      <c r="M49" s="1" t="s">
        <v>614</v>
      </c>
      <c r="N49" s="5" t="str">
        <f>CONCATENATE("UPDATE ",Database_ESP[[#This Row],[Table]]," SET ",Database_ESP[[#This Row],[Column]]," = '",Database_ESP[[#This Row],[POR.XAVI.INICIAL]],"' WHERE LanguageTag = '",Database_ESP[[#This Row],[Tag]],"'")</f>
        <v>UPDATE requestsrules SET name = 'Licença legal remunerada' WHERE LanguageTag = 'nopedirvacacionessinohaysaldopositivo'</v>
      </c>
      <c r="O49" s="5" t="str">
        <f>CONCATENATE("UPDATE ",Database_ESP[[#This Row],[Table]]," SET ",Database_ESP[[#This Row],[Column]]," = '",Database_ESP[[#This Row],[ESP]],"' WHERE LanguageTag = '",Database_ESP[[#This Row],[Tag]],"'")</f>
        <v>UPDATE requestsrules SET name = 'No pedir vacaciones si no hay saldo positivo' WHERE LanguageTag = 'nopedirvacacionessinohaysaldopositivo'</v>
      </c>
      <c r="P49" s="5" t="str">
        <f>CONCATENATE("UPDATE ",Database_ESP[[#This Row],[Table]]," SET ",Database_ESP[[#This Row],[Column]]," = '",Database_ESP[[#This Row],[ENG]],"' WHERE LanguageTag = '",Database_ESP[[#This Row],[Tag]],"'")</f>
        <v>UPDATE requestsrules SET name = 'Do not ask for vacation if there is no positive balance' WHERE LanguageTag = 'nopedirvacacionessinohaysaldopositivo'</v>
      </c>
      <c r="Q49" s="5" t="str">
        <f>CONCATENATE("UPDATE ",Database_ESP[[#This Row],[Table]]," SET ",Database_ESP[[#This Row],[Column]]," = '",Database_ESP[[#This Row],[FR]],"' WHERE LanguageTag = '",Database_ESP[[#This Row],[Tag]],"'")</f>
        <v>UPDATE requestsrules SET name = 'Ne pas demander de congés s'il n'y a pas de solde positif' WHERE LanguageTag = 'nopedirvacacionessinohaysaldopositivo'</v>
      </c>
      <c r="R49" s="5" t="str">
        <f>CONCATENATE("UPDATE ",Database_ESP[[#This Row],[Table]]," SET ",Database_ESP[[#This Row],[Column]]," = '",Database_ESP[[#This Row],[IT]],"' WHERE LanguageTag = '",Database_ESP[[#This Row],[Tag]],"'")</f>
        <v>UPDATE requestsrules SET name = 'Non chiedete ferie se non c'è un saldo attivo' WHERE LanguageTag = 'nopedirvacacionessinohaysaldopositivo'</v>
      </c>
      <c r="S49" s="5" t="str">
        <f>CONCATENATE("UPDATE ",Database_ESP[[#This Row],[Table]]," SET ",Database_ESP[[#This Row],[Column]]," = '",Database_ESP[[#This Row],[SK]],"' WHERE LanguageTag = '",Database_ESP[[#This Row],[Tag]],"'")</f>
        <v>UPDATE requestsrules SET name = 'Nežiadajte o dovolenku, ak nie je kladný zostatok' WHERE LanguageTag = 'nopedirvacacionessinohaysaldopositivo'</v>
      </c>
    </row>
    <row r="50" spans="1:19" ht="135" x14ac:dyDescent="0.25">
      <c r="A50" s="2" t="s">
        <v>816</v>
      </c>
      <c r="B50" s="2" t="str">
        <f t="shared" si="4"/>
        <v>RES_database_one.shifts.festivo.description.rotext</v>
      </c>
      <c r="C50" s="2" t="str">
        <f t="shared" si="5"/>
        <v>shifts</v>
      </c>
      <c r="D50" s="2" t="str">
        <f t="shared" si="6"/>
        <v>festivo</v>
      </c>
      <c r="E50" s="2" t="str">
        <f t="shared" si="7"/>
        <v>description</v>
      </c>
      <c r="F50" s="2" t="str">
        <f t="shared" si="8"/>
        <v>Festivos, no laborables.</v>
      </c>
      <c r="G50" s="1" t="s">
        <v>904</v>
      </c>
      <c r="H50" s="1" t="s">
        <v>147</v>
      </c>
      <c r="I50" s="1" t="s">
        <v>743</v>
      </c>
      <c r="J50" s="1" t="s">
        <v>554</v>
      </c>
      <c r="K50" s="1" t="s">
        <v>647</v>
      </c>
      <c r="L50" s="1" t="s">
        <v>678</v>
      </c>
      <c r="M50" s="1" t="s">
        <v>615</v>
      </c>
      <c r="N50" s="5" t="str">
        <f>CONCATENATE("UPDATE ",Database_ESP[[#This Row],[Table]]," SET ",Database_ESP[[#This Row],[Column]]," = '",Database_ESP[[#This Row],[POR.XAVI.INICIAL]],"' WHERE LanguageTag = '",Database_ESP[[#This Row],[Tag]],"'")</f>
        <v>UPDATE shifts SET description = 'Transferência do local de residência habitual' WHERE LanguageTag = 'festivo'</v>
      </c>
      <c r="O50" s="5" t="str">
        <f>CONCATENATE("UPDATE ",Database_ESP[[#This Row],[Table]]," SET ",Database_ESP[[#This Row],[Column]]," = '",Database_ESP[[#This Row],[ESP]],"' WHERE LanguageTag = '",Database_ESP[[#This Row],[Tag]],"'")</f>
        <v>UPDATE shifts SET description = 'Festivos, no laborables.' WHERE LanguageTag = 'festivo'</v>
      </c>
      <c r="P50" s="5" t="str">
        <f>CONCATENATE("UPDATE ",Database_ESP[[#This Row],[Table]]," SET ",Database_ESP[[#This Row],[Column]]," = '",Database_ESP[[#This Row],[ENG]],"' WHERE LanguageTag = '",Database_ESP[[#This Row],[Tag]],"'")</f>
        <v>UPDATE shifts SET description = 'Holidays, non-working days.' WHERE LanguageTag = 'festivo'</v>
      </c>
      <c r="Q50" s="5" t="str">
        <f>CONCATENATE("UPDATE ",Database_ESP[[#This Row],[Table]]," SET ",Database_ESP[[#This Row],[Column]]," = '",Database_ESP[[#This Row],[FR]],"' WHERE LanguageTag = '",Database_ESP[[#This Row],[Tag]],"'")</f>
        <v>UPDATE shifts SET description = 'Jours fériés, jours chômés.' WHERE LanguageTag = 'festivo'</v>
      </c>
      <c r="R50" s="5" t="str">
        <f>CONCATENATE("UPDATE ",Database_ESP[[#This Row],[Table]]," SET ",Database_ESP[[#This Row],[Column]]," = '",Database_ESP[[#This Row],[IT]],"' WHERE LanguageTag = '",Database_ESP[[#This Row],[Tag]],"'")</f>
        <v>UPDATE shifts SET description = 'Ferie, giorni non lavorativi.' WHERE LanguageTag = 'festivo'</v>
      </c>
      <c r="S50" s="5" t="str">
        <f>CONCATENATE("UPDATE ",Database_ESP[[#This Row],[Table]]," SET ",Database_ESP[[#This Row],[Column]]," = '",Database_ESP[[#This Row],[SK]],"' WHERE LanguageTag = '",Database_ESP[[#This Row],[Tag]],"'")</f>
        <v>UPDATE shifts SET description = 'Sviatky, dni pracovného pokoja.' WHERE LanguageTag = 'festivo'</v>
      </c>
    </row>
    <row r="51" spans="1:19" ht="135" x14ac:dyDescent="0.25">
      <c r="A51" s="2" t="s">
        <v>657</v>
      </c>
      <c r="B51" s="2" t="str">
        <f t="shared" si="4"/>
        <v>RES_database_one.shifts.festivo.name.rotext</v>
      </c>
      <c r="C51" s="2" t="str">
        <f t="shared" si="5"/>
        <v>shifts</v>
      </c>
      <c r="D51" s="2" t="str">
        <f t="shared" si="6"/>
        <v>festivo</v>
      </c>
      <c r="E51" s="2" t="str">
        <f t="shared" si="7"/>
        <v>name</v>
      </c>
      <c r="F51" s="2" t="str">
        <f t="shared" si="8"/>
        <v>Festivo</v>
      </c>
      <c r="G51" s="1" t="s">
        <v>114</v>
      </c>
      <c r="H51" s="1" t="s">
        <v>147</v>
      </c>
      <c r="I51" s="1" t="s">
        <v>114</v>
      </c>
      <c r="J51" s="1" t="s">
        <v>221</v>
      </c>
      <c r="K51" s="1" t="s">
        <v>277</v>
      </c>
      <c r="L51" s="1" t="s">
        <v>114</v>
      </c>
      <c r="M51" s="1" t="s">
        <v>431</v>
      </c>
      <c r="N51" s="5" t="str">
        <f>CONCATENATE("UPDATE ",Database_ESP[[#This Row],[Table]]," SET ",Database_ESP[[#This Row],[Column]]," = '",Database_ESP[[#This Row],[POR.XAVI.INICIAL]],"' WHERE LanguageTag = '",Database_ESP[[#This Row],[Tag]],"'")</f>
        <v>UPDATE shifts SET name = 'Transferência do local de residência habitual' WHERE LanguageTag = 'festivo'</v>
      </c>
      <c r="O51" s="5" t="str">
        <f>CONCATENATE("UPDATE ",Database_ESP[[#This Row],[Table]]," SET ",Database_ESP[[#This Row],[Column]]," = '",Database_ESP[[#This Row],[ESP]],"' WHERE LanguageTag = '",Database_ESP[[#This Row],[Tag]],"'")</f>
        <v>UPDATE shifts SET name = 'Festivo' WHERE LanguageTag = 'festivo'</v>
      </c>
      <c r="P51" s="5" t="str">
        <f>CONCATENATE("UPDATE ",Database_ESP[[#This Row],[Table]]," SET ",Database_ESP[[#This Row],[Column]]," = '",Database_ESP[[#This Row],[ENG]],"' WHERE LanguageTag = '",Database_ESP[[#This Row],[Tag]],"'")</f>
        <v>UPDATE shifts SET name = 'Festive' WHERE LanguageTag = 'festivo'</v>
      </c>
      <c r="Q51" s="5" t="str">
        <f>CONCATENATE("UPDATE ",Database_ESP[[#This Row],[Table]]," SET ",Database_ESP[[#This Row],[Column]]," = '",Database_ESP[[#This Row],[FR]],"' WHERE LanguageTag = '",Database_ESP[[#This Row],[Tag]],"'")</f>
        <v>UPDATE shifts SET name = 'De fête' WHERE LanguageTag = 'festivo'</v>
      </c>
      <c r="R51" s="5" t="str">
        <f>CONCATENATE("UPDATE ",Database_ESP[[#This Row],[Table]]," SET ",Database_ESP[[#This Row],[Column]]," = '",Database_ESP[[#This Row],[IT]],"' WHERE LanguageTag = '",Database_ESP[[#This Row],[Tag]],"'")</f>
        <v>UPDATE shifts SET name = 'Festivo' WHERE LanguageTag = 'festivo'</v>
      </c>
      <c r="S51" s="5" t="str">
        <f>CONCATENATE("UPDATE ",Database_ESP[[#This Row],[Table]]," SET ",Database_ESP[[#This Row],[Column]]," = '",Database_ESP[[#This Row],[SK]],"' WHERE LanguageTag = '",Database_ESP[[#This Row],[Tag]],"'")</f>
        <v>UPDATE shifts SET name = 'Slávnostné' WHERE LanguageTag = 'festivo'</v>
      </c>
    </row>
    <row r="52" spans="1:19" ht="409.5" x14ac:dyDescent="0.25">
      <c r="A52" s="2" t="s">
        <v>817</v>
      </c>
      <c r="B52" s="2" t="str">
        <f t="shared" si="4"/>
        <v>RES_database_one.shifts.laborable.name.rotext</v>
      </c>
      <c r="C52" s="2" t="str">
        <f t="shared" si="5"/>
        <v>shifts</v>
      </c>
      <c r="D52" s="2" t="str">
        <f t="shared" si="6"/>
        <v>laborable</v>
      </c>
      <c r="E52" s="2" t="str">
        <f t="shared" si="7"/>
        <v>name</v>
      </c>
      <c r="F52" s="2" t="str">
        <f t="shared" si="8"/>
        <v>Laborable</v>
      </c>
      <c r="G52" s="1" t="s">
        <v>905</v>
      </c>
      <c r="H52" s="1" t="s">
        <v>196</v>
      </c>
      <c r="I52" s="1" t="s">
        <v>744</v>
      </c>
      <c r="J52" s="1" t="s">
        <v>555</v>
      </c>
      <c r="K52" s="1" t="s">
        <v>648</v>
      </c>
      <c r="L52" s="1" t="s">
        <v>679</v>
      </c>
      <c r="M52" s="1" t="s">
        <v>616</v>
      </c>
      <c r="N52" s="5" t="str">
        <f>CONCATENATE("UPDATE ",Database_ESP[[#This Row],[Table]]," SET ",Database_ESP[[#This Row],[Column]]," = '",Database_ESP[[#This Row],[POR.XAVI.INICIAL]],"' WHERE LanguageTag = '",Database_ESP[[#This Row],[Tag]],"'")</f>
        <v>UPDATE shifts SET name = 'Ausência devido a férias anuais remuneradas. Não é substituível por uma compensação financeira, será a acordada na Convenção Colectiva ou no contrato individual. Respeitando este acordo, o mínimo legal de 30 dias de calendário por ano.' WHERE LanguageTag = 'laborable'</v>
      </c>
      <c r="O52" s="5" t="str">
        <f>CONCATENATE("UPDATE ",Database_ESP[[#This Row],[Table]]," SET ",Database_ESP[[#This Row],[Column]]," = '",Database_ESP[[#This Row],[ESP]],"' WHERE LanguageTag = '",Database_ESP[[#This Row],[Tag]],"'")</f>
        <v>UPDATE shifts SET name = 'Laborable' WHERE LanguageTag = 'laborable'</v>
      </c>
      <c r="P52" s="5" t="str">
        <f>CONCATENATE("UPDATE ",Database_ESP[[#This Row],[Table]]," SET ",Database_ESP[[#This Row],[Column]]," = '",Database_ESP[[#This Row],[ENG]],"' WHERE LanguageTag = '",Database_ESP[[#This Row],[Tag]],"'")</f>
        <v>UPDATE shifts SET name = 'Working day' WHERE LanguageTag = 'laborable'</v>
      </c>
      <c r="Q52" s="5" t="str">
        <f>CONCATENATE("UPDATE ",Database_ESP[[#This Row],[Table]]," SET ",Database_ESP[[#This Row],[Column]]," = '",Database_ESP[[#This Row],[FR]],"' WHERE LanguageTag = '",Database_ESP[[#This Row],[Tag]],"'")</f>
        <v>UPDATE shifts SET name = 'Fonctionnement' WHERE LanguageTag = 'laborable'</v>
      </c>
      <c r="R52" s="5" t="str">
        <f>CONCATENATE("UPDATE ",Database_ESP[[#This Row],[Table]]," SET ",Database_ESP[[#This Row],[Column]]," = '",Database_ESP[[#This Row],[IT]],"' WHERE LanguageTag = '",Database_ESP[[#This Row],[Tag]],"'")</f>
        <v>UPDATE shifts SET name = 'Lavorando' WHERE LanguageTag = 'laborable'</v>
      </c>
      <c r="S52" s="5" t="str">
        <f>CONCATENATE("UPDATE ",Database_ESP[[#This Row],[Table]]," SET ",Database_ESP[[#This Row],[Column]]," = '",Database_ESP[[#This Row],[SK]],"' WHERE LanguageTag = '",Database_ESP[[#This Row],[Tag]],"'")</f>
        <v>UPDATE shifts SET name = 'Pracovná stránka' WHERE LanguageTag = 'laborable'</v>
      </c>
    </row>
    <row r="53" spans="1:19" ht="45" x14ac:dyDescent="0.25">
      <c r="A53" s="2" t="s">
        <v>818</v>
      </c>
      <c r="B53" s="2" t="str">
        <f t="shared" si="4"/>
        <v>RES_database_one.shifts.nolaboral.description.rotext</v>
      </c>
      <c r="C53" s="2" t="str">
        <f t="shared" si="5"/>
        <v>shifts</v>
      </c>
      <c r="D53" s="2" t="str">
        <f t="shared" si="6"/>
        <v>nolaboral</v>
      </c>
      <c r="E53" s="2" t="str">
        <f t="shared" si="7"/>
        <v>description</v>
      </c>
      <c r="F53" s="2" t="str">
        <f t="shared" si="8"/>
        <v>Este horario tiene 0 horas teóricas. Se planificará únicamente los días en los que el empleado disfrute de un día completo de descanso y, por lo tanto, no vaya a realizar ningún fichaje.</v>
      </c>
      <c r="G53" s="1" t="s">
        <v>906</v>
      </c>
      <c r="H53" s="1" t="s">
        <v>128</v>
      </c>
      <c r="I53" s="1" t="s">
        <v>745</v>
      </c>
      <c r="J53" s="1" t="s">
        <v>556</v>
      </c>
      <c r="K53" s="1" t="s">
        <v>276</v>
      </c>
      <c r="L53" s="1" t="s">
        <v>353</v>
      </c>
      <c r="M53" s="1" t="s">
        <v>430</v>
      </c>
      <c r="N53" s="5" t="str">
        <f>CONCATENATE("UPDATE ",Database_ESP[[#This Row],[Table]]," SET ",Database_ESP[[#This Row],[Column]]," = '",Database_ESP[[#This Row],[POR.XAVI.INICIAL]],"' WHERE LanguageTag = '",Database_ESP[[#This Row],[Tag]],"'")</f>
        <v>UPDATE shifts SET description = 'Férias' WHERE LanguageTag = 'nolaboral'</v>
      </c>
      <c r="O53" s="5" t="str">
        <f>CONCATENATE("UPDATE ",Database_ESP[[#This Row],[Table]]," SET ",Database_ESP[[#This Row],[Column]]," = '",Database_ESP[[#This Row],[ESP]],"' WHERE LanguageTag = '",Database_ESP[[#This Row],[Tag]],"'")</f>
        <v>UPDATE shifts SET description = 'Este horario tiene 0 horas teóricas. Se planificará únicamente los días en los que el empleado disfrute de un día completo de descanso y, por lo tanto, no vaya a realizar ningún fichaje.' WHERE LanguageTag = 'nolaboral'</v>
      </c>
      <c r="P53" s="5" t="str">
        <f>CONCATENATE("UPDATE ",Database_ESP[[#This Row],[Table]]," SET ",Database_ESP[[#This Row],[Column]]," = '",Database_ESP[[#This Row],[ENG]],"' WHERE LanguageTag = '",Database_ESP[[#This Row],[Tag]],"'")</f>
        <v>UPDATE shifts SET description = ' This schedule has 0 theoretical hours. It will only be planned on days when the employee has a full day off and therefore will not be clocking in.' WHERE LanguageTag = 'nolaboral'</v>
      </c>
      <c r="Q53" s="5" t="str">
        <f>CONCATENATE("UPDATE ",Database_ESP[[#This Row],[Table]]," SET ",Database_ESP[[#This Row],[Column]]," = '",Database_ESP[[#This Row],[FR]],"' WHERE LanguageTag = '",Database_ESP[[#This Row],[Tag]],"'")</f>
        <v>UPDATE shifts SET description = 'Cet horaire comporte 0 heure planifiée. Il ne doit être planifié que les jours où le salarié a un jour de congé complet et ne pointera donc pas.  ' WHERE LanguageTag = 'nolaboral'</v>
      </c>
      <c r="R53" s="5" t="str">
        <f>CONCATENATE("UPDATE ",Database_ESP[[#This Row],[Table]]," SET ",Database_ESP[[#This Row],[Column]]," = '",Database_ESP[[#This Row],[IT]],"' WHERE LanguageTag = '",Database_ESP[[#This Row],[Tag]],"'")</f>
        <v>UPDATE shifts SET description = 'Questo orario ha 0 ore pianificate. Deve essere pianificato solo nei giorni in cui il dipendente ha un'intera giornata libera e quindi non timbra il cartellino.  ' WHERE LanguageTag = 'nolaboral'</v>
      </c>
      <c r="S53" s="5" t="str">
        <f>CONCATENATE("UPDATE ",Database_ESP[[#This Row],[Table]]," SET ",Database_ESP[[#This Row],[Column]]," = '",Database_ESP[[#This Row],[SK]],"' WHERE LanguageTag = '",Database_ESP[[#This Row],[Tag]],"'")</f>
        <v>UPDATE shifts SET description = 'Tento rozvrh má 0 plánovaných hodín. Plánuje sa len v dňoch, keď má zamestnanec celý voľný deň, a preto nebude mať hodiny.  ' WHERE LanguageTag = 'nolaboral'</v>
      </c>
    </row>
    <row r="54" spans="1:19" ht="75" x14ac:dyDescent="0.25">
      <c r="A54" s="2" t="s">
        <v>819</v>
      </c>
      <c r="B54" s="2" t="str">
        <f t="shared" si="4"/>
        <v>RES_database_one.shifts.nolaboral.name.rotext</v>
      </c>
      <c r="C54" s="2" t="str">
        <f t="shared" si="5"/>
        <v>shifts</v>
      </c>
      <c r="D54" s="2" t="str">
        <f t="shared" si="6"/>
        <v>nolaboral</v>
      </c>
      <c r="E54" s="2" t="str">
        <f t="shared" si="7"/>
        <v>name</v>
      </c>
      <c r="F54" s="2" t="str">
        <f t="shared" si="8"/>
        <v>No laboral</v>
      </c>
      <c r="G54" s="1" t="s">
        <v>907</v>
      </c>
      <c r="H54" s="1" t="s">
        <v>148</v>
      </c>
      <c r="I54" s="1" t="s">
        <v>746</v>
      </c>
      <c r="J54" s="1" t="s">
        <v>557</v>
      </c>
      <c r="K54" s="1" t="s">
        <v>649</v>
      </c>
      <c r="L54" s="1" t="s">
        <v>680</v>
      </c>
      <c r="M54" s="1" t="s">
        <v>617</v>
      </c>
      <c r="N54" s="5" t="str">
        <f>CONCATENATE("UPDATE ",Database_ESP[[#This Row],[Table]]," SET ",Database_ESP[[#This Row],[Column]]," = '",Database_ESP[[#This Row],[POR.XAVI.INICIAL]],"' WHERE LanguageTag = '",Database_ESP[[#This Row],[Tag]],"'")</f>
        <v>UPDATE shifts SET name = 'Feriados do ano anterior. ' WHERE LanguageTag = 'nolaboral'</v>
      </c>
      <c r="O54" s="5" t="str">
        <f>CONCATENATE("UPDATE ",Database_ESP[[#This Row],[Table]]," SET ",Database_ESP[[#This Row],[Column]]," = '",Database_ESP[[#This Row],[ESP]],"' WHERE LanguageTag = '",Database_ESP[[#This Row],[Tag]],"'")</f>
        <v>UPDATE shifts SET name = 'No laboral' WHERE LanguageTag = 'nolaboral'</v>
      </c>
      <c r="P54" s="5" t="str">
        <f>CONCATENATE("UPDATE ",Database_ESP[[#This Row],[Table]]," SET ",Database_ESP[[#This Row],[Column]]," = '",Database_ESP[[#This Row],[ENG]],"' WHERE LanguageTag = '",Database_ESP[[#This Row],[Tag]],"'")</f>
        <v>UPDATE shifts SET name = 'Non-labor' WHERE LanguageTag = 'nolaboral'</v>
      </c>
      <c r="Q54" s="5" t="str">
        <f>CONCATENATE("UPDATE ",Database_ESP[[#This Row],[Table]]," SET ",Database_ESP[[#This Row],[Column]]," = '",Database_ESP[[#This Row],[FR]],"' WHERE LanguageTag = '",Database_ESP[[#This Row],[Tag]],"'")</f>
        <v>UPDATE shifts SET name = 'Non professionnel' WHERE LanguageTag = 'nolaboral'</v>
      </c>
      <c r="R54" s="5" t="str">
        <f>CONCATENATE("UPDATE ",Database_ESP[[#This Row],[Table]]," SET ",Database_ESP[[#This Row],[Column]]," = '",Database_ESP[[#This Row],[IT]],"' WHERE LanguageTag = '",Database_ESP[[#This Row],[Tag]],"'")</f>
        <v>UPDATE shifts SET name = 'Non professionale' WHERE LanguageTag = 'nolaboral'</v>
      </c>
      <c r="S54" s="5" t="str">
        <f>CONCATENATE("UPDATE ",Database_ESP[[#This Row],[Table]]," SET ",Database_ESP[[#This Row],[Column]]," = '",Database_ESP[[#This Row],[SK]],"' WHERE LanguageTag = '",Database_ESP[[#This Row],[Tag]],"'")</f>
        <v>UPDATE shifts SET name = 'Neprofesionálne' WHERE LanguageTag = 'nolaboral'</v>
      </c>
    </row>
    <row r="55" spans="1:19" ht="75" x14ac:dyDescent="0.25">
      <c r="A55" s="2" t="s">
        <v>820</v>
      </c>
      <c r="B55" s="2" t="str">
        <f t="shared" si="4"/>
        <v>RES_database_one.shifts.vacaciones.description.rotext</v>
      </c>
      <c r="C55" s="2" t="str">
        <f t="shared" si="5"/>
        <v>shifts</v>
      </c>
      <c r="D55" s="2" t="str">
        <f t="shared" si="6"/>
        <v>vacaciones</v>
      </c>
      <c r="E55" s="2" t="str">
        <f t="shared" si="7"/>
        <v>description</v>
      </c>
      <c r="F55" s="2" t="str">
        <f t="shared" si="8"/>
        <v>Vacaciones en días laborables.</v>
      </c>
      <c r="G55" s="1" t="s">
        <v>908</v>
      </c>
      <c r="H55" s="1" t="s">
        <v>149</v>
      </c>
      <c r="I55" s="1" t="s">
        <v>747</v>
      </c>
      <c r="J55" s="1" t="s">
        <v>558</v>
      </c>
      <c r="K55" s="1" t="s">
        <v>278</v>
      </c>
      <c r="L55" s="1" t="s">
        <v>354</v>
      </c>
      <c r="M55" s="1" t="s">
        <v>432</v>
      </c>
      <c r="N55" s="5" t="str">
        <f>CONCATENATE("UPDATE ",Database_ESP[[#This Row],[Table]]," SET ",Database_ESP[[#This Row],[Column]]," = '",Database_ESP[[#This Row],[POR.XAVI.INICIAL]],"' WHERE LanguageTag = '",Database_ESP[[#This Row],[Tag]],"'")</f>
        <v>UPDATE shifts SET description = 'Feriados do ano anterior' WHERE LanguageTag = 'vacaciones'</v>
      </c>
      <c r="O55" s="5" t="str">
        <f>CONCATENATE("UPDATE ",Database_ESP[[#This Row],[Table]]," SET ",Database_ESP[[#This Row],[Column]]," = '",Database_ESP[[#This Row],[ESP]],"' WHERE LanguageTag = '",Database_ESP[[#This Row],[Tag]],"'")</f>
        <v>UPDATE shifts SET description = 'Vacaciones en días laborables.' WHERE LanguageTag = 'vacaciones'</v>
      </c>
      <c r="P55" s="5" t="str">
        <f>CONCATENATE("UPDATE ",Database_ESP[[#This Row],[Table]]," SET ",Database_ESP[[#This Row],[Column]]," = '",Database_ESP[[#This Row],[ENG]],"' WHERE LanguageTag = '",Database_ESP[[#This Row],[Tag]],"'")</f>
        <v>UPDATE shifts SET description = ' Holidays on working days.' WHERE LanguageTag = 'vacaciones'</v>
      </c>
      <c r="Q55" s="5" t="str">
        <f>CONCATENATE("UPDATE ",Database_ESP[[#This Row],[Table]]," SET ",Database_ESP[[#This Row],[Column]]," = '",Database_ESP[[#This Row],[FR]],"' WHERE LanguageTag = '",Database_ESP[[#This Row],[Tag]],"'")</f>
        <v>UPDATE shifts SET description = 'Jours fériés pendant les jours ouvrables.  ' WHERE LanguageTag = 'vacaciones'</v>
      </c>
      <c r="R55" s="5" t="str">
        <f>CONCATENATE("UPDATE ",Database_ESP[[#This Row],[Table]]," SET ",Database_ESP[[#This Row],[Column]]," = '",Database_ESP[[#This Row],[IT]],"' WHERE LanguageTag = '",Database_ESP[[#This Row],[Tag]],"'")</f>
        <v>UPDATE shifts SET description = 'Ferie nei giorni lavorativi.  ' WHERE LanguageTag = 'vacaciones'</v>
      </c>
      <c r="S55" s="5" t="str">
        <f>CONCATENATE("UPDATE ",Database_ESP[[#This Row],[Table]]," SET ",Database_ESP[[#This Row],[Column]]," = '",Database_ESP[[#This Row],[SK]],"' WHERE LanguageTag = '",Database_ESP[[#This Row],[Tag]],"'")</f>
        <v>UPDATE shifts SET description = 'Sviatky v pracovných dňoch.  ' WHERE LanguageTag = 'vacaciones'</v>
      </c>
    </row>
    <row r="56" spans="1:19" ht="60" x14ac:dyDescent="0.25">
      <c r="A56" s="2" t="s">
        <v>821</v>
      </c>
      <c r="B56" s="2" t="str">
        <f t="shared" si="4"/>
        <v>RES_database_one.shifts.vacaciones.name.rotext</v>
      </c>
      <c r="C56" s="2" t="str">
        <f t="shared" si="5"/>
        <v>shifts</v>
      </c>
      <c r="D56" s="2" t="str">
        <f t="shared" si="6"/>
        <v>vacaciones</v>
      </c>
      <c r="E56" s="2" t="str">
        <f t="shared" si="7"/>
        <v>name</v>
      </c>
      <c r="F56" s="2" t="str">
        <f t="shared" si="8"/>
        <v>Vacaciones</v>
      </c>
      <c r="G56" s="1" t="s">
        <v>45</v>
      </c>
      <c r="H56" s="1" t="s">
        <v>150</v>
      </c>
      <c r="I56" s="1" t="s">
        <v>128</v>
      </c>
      <c r="J56" s="1" t="s">
        <v>216</v>
      </c>
      <c r="K56" s="1" t="s">
        <v>263</v>
      </c>
      <c r="L56" s="1" t="s">
        <v>340</v>
      </c>
      <c r="M56" s="1" t="s">
        <v>417</v>
      </c>
      <c r="N56" s="5" t="str">
        <f>CONCATENATE("UPDATE ",Database_ESP[[#This Row],[Table]]," SET ",Database_ESP[[#This Row],[Column]]," = '",Database_ESP[[#This Row],[POR.XAVI.INICIAL]],"' WHERE LanguageTag = '",Database_ESP[[#This Row],[Tag]],"'")</f>
        <v>UPDATE shifts SET name = 'VT. Feriados de reporte' WHERE LanguageTag = 'vacaciones'</v>
      </c>
      <c r="O56" s="5" t="str">
        <f>CONCATENATE("UPDATE ",Database_ESP[[#This Row],[Table]]," SET ",Database_ESP[[#This Row],[Column]]," = '",Database_ESP[[#This Row],[ESP]],"' WHERE LanguageTag = '",Database_ESP[[#This Row],[Tag]],"'")</f>
        <v>UPDATE shifts SET name = 'Vacaciones' WHERE LanguageTag = 'vacaciones'</v>
      </c>
      <c r="P56" s="5" t="str">
        <f>CONCATENATE("UPDATE ",Database_ESP[[#This Row],[Table]]," SET ",Database_ESP[[#This Row],[Column]]," = '",Database_ESP[[#This Row],[ENG]],"' WHERE LanguageTag = '",Database_ESP[[#This Row],[Tag]],"'")</f>
        <v>UPDATE shifts SET name = 'Vacation' WHERE LanguageTag = 'vacaciones'</v>
      </c>
      <c r="Q56" s="5" t="str">
        <f>CONCATENATE("UPDATE ",Database_ESP[[#This Row],[Table]]," SET ",Database_ESP[[#This Row],[Column]]," = '",Database_ESP[[#This Row],[FR]],"' WHERE LanguageTag = '",Database_ESP[[#This Row],[Tag]],"'")</f>
        <v>UPDATE shifts SET name = 'Des vacances' WHERE LanguageTag = 'vacaciones'</v>
      </c>
      <c r="R56" s="5" t="str">
        <f>CONCATENATE("UPDATE ",Database_ESP[[#This Row],[Table]]," SET ",Database_ESP[[#This Row],[Column]]," = '",Database_ESP[[#This Row],[IT]],"' WHERE LanguageTag = '",Database_ESP[[#This Row],[Tag]],"'")</f>
        <v>UPDATE shifts SET name = 'Vacanza' WHERE LanguageTag = 'vacaciones'</v>
      </c>
      <c r="S56" s="5" t="str">
        <f>CONCATENATE("UPDATE ",Database_ESP[[#This Row],[Table]]," SET ",Database_ESP[[#This Row],[Column]]," = '",Database_ESP[[#This Row],[SK]],"' WHERE LanguageTag = '",Database_ESP[[#This Row],[Tag]],"'")</f>
        <v>UPDATE shifts SET name = 'Dovolenka' WHERE LanguageTag = 'vacaciones'</v>
      </c>
    </row>
    <row r="57" spans="1:19" ht="60" x14ac:dyDescent="0.25">
      <c r="A57" s="2" t="s">
        <v>822</v>
      </c>
      <c r="B57" s="2" t="str">
        <f t="shared" si="4"/>
        <v>RES_database_one.startupvalues.vacaciones.name.rotext</v>
      </c>
      <c r="C57" s="2" t="str">
        <f t="shared" si="5"/>
        <v>startupvalues</v>
      </c>
      <c r="D57" s="2" t="str">
        <f t="shared" si="6"/>
        <v>vacaciones</v>
      </c>
      <c r="E57" s="2" t="str">
        <f t="shared" si="7"/>
        <v>name</v>
      </c>
      <c r="F57" s="2" t="str">
        <f t="shared" si="8"/>
        <v>Vacaciones</v>
      </c>
      <c r="G57" s="1" t="s">
        <v>45</v>
      </c>
      <c r="H57" s="1" t="s">
        <v>150</v>
      </c>
      <c r="I57" s="1" t="s">
        <v>128</v>
      </c>
      <c r="J57" s="1" t="s">
        <v>216</v>
      </c>
      <c r="K57" s="1" t="s">
        <v>263</v>
      </c>
      <c r="L57" s="1" t="s">
        <v>340</v>
      </c>
      <c r="M57" s="1" t="s">
        <v>417</v>
      </c>
      <c r="N57" s="5" t="str">
        <f>CONCATENATE("UPDATE ",Database_ESP[[#This Row],[Table]]," SET ",Database_ESP[[#This Row],[Column]]," = '",Database_ESP[[#This Row],[POR.XAVI.INICIAL]],"' WHERE LanguageTag = '",Database_ESP[[#This Row],[Tag]],"'")</f>
        <v>UPDATE startupvalues SET name = 'VT. Feriados de reporte' WHERE LanguageTag = 'vacaciones'</v>
      </c>
      <c r="O57" s="5" t="str">
        <f>CONCATENATE("UPDATE ",Database_ESP[[#This Row],[Table]]," SET ",Database_ESP[[#This Row],[Column]]," = '",Database_ESP[[#This Row],[ESP]],"' WHERE LanguageTag = '",Database_ESP[[#This Row],[Tag]],"'")</f>
        <v>UPDATE startupvalues SET name = 'Vacaciones' WHERE LanguageTag = 'vacaciones'</v>
      </c>
      <c r="P57" s="5" t="str">
        <f>CONCATENATE("UPDATE ",Database_ESP[[#This Row],[Table]]," SET ",Database_ESP[[#This Row],[Column]]," = '",Database_ESP[[#This Row],[ENG]],"' WHERE LanguageTag = '",Database_ESP[[#This Row],[Tag]],"'")</f>
        <v>UPDATE startupvalues SET name = 'Vacation' WHERE LanguageTag = 'vacaciones'</v>
      </c>
      <c r="Q57" s="5" t="str">
        <f>CONCATENATE("UPDATE ",Database_ESP[[#This Row],[Table]]," SET ",Database_ESP[[#This Row],[Column]]," = '",Database_ESP[[#This Row],[FR]],"' WHERE LanguageTag = '",Database_ESP[[#This Row],[Tag]],"'")</f>
        <v>UPDATE startupvalues SET name = 'Des vacances' WHERE LanguageTag = 'vacaciones'</v>
      </c>
      <c r="R57" s="5" t="str">
        <f>CONCATENATE("UPDATE ",Database_ESP[[#This Row],[Table]]," SET ",Database_ESP[[#This Row],[Column]]," = '",Database_ESP[[#This Row],[IT]],"' WHERE LanguageTag = '",Database_ESP[[#This Row],[Tag]],"'")</f>
        <v>UPDATE startupvalues SET name = 'Vacanza' WHERE LanguageTag = 'vacaciones'</v>
      </c>
      <c r="S57" s="5" t="str">
        <f>CONCATENATE("UPDATE ",Database_ESP[[#This Row],[Table]]," SET ",Database_ESP[[#This Row],[Column]]," = '",Database_ESP[[#This Row],[SK]],"' WHERE LanguageTag = '",Database_ESP[[#This Row],[Tag]],"'")</f>
        <v>UPDATE startupvalues SET name = 'Dovolenka' WHERE LanguageTag = 'vacaciones'</v>
      </c>
    </row>
    <row r="58" spans="1:19" ht="60" x14ac:dyDescent="0.25">
      <c r="A58" s="2" t="s">
        <v>823</v>
      </c>
      <c r="B58" s="2" t="str">
        <f t="shared" si="4"/>
        <v>RES_database_one.startupvalues.vacacionesiniciales.name.rotext</v>
      </c>
      <c r="C58" s="2" t="str">
        <f t="shared" si="5"/>
        <v>startupvalues</v>
      </c>
      <c r="D58" s="2" t="str">
        <f t="shared" si="6"/>
        <v>vacacionesiniciales</v>
      </c>
      <c r="E58" s="2" t="str">
        <f t="shared" si="7"/>
        <v>name</v>
      </c>
      <c r="F58" s="2" t="str">
        <f t="shared" si="8"/>
        <v>Vacaciones iniciales</v>
      </c>
      <c r="G58" s="1" t="s">
        <v>116</v>
      </c>
      <c r="H58" s="1" t="s">
        <v>151</v>
      </c>
      <c r="I58" s="1" t="s">
        <v>134</v>
      </c>
      <c r="J58" s="1" t="s">
        <v>559</v>
      </c>
      <c r="K58" s="1" t="s">
        <v>279</v>
      </c>
      <c r="L58" s="1" t="s">
        <v>355</v>
      </c>
      <c r="M58" s="1" t="s">
        <v>433</v>
      </c>
      <c r="N58" s="5" t="str">
        <f>CONCATENATE("UPDATE ",Database_ESP[[#This Row],[Table]]," SET ",Database_ESP[[#This Row],[Column]]," = '",Database_ESP[[#This Row],[POR.XAVI.INICIAL]],"' WHERE LanguageTag = '",Database_ESP[[#This Row],[Tag]],"'")</f>
        <v>UPDATE startupvalues SET name = 'VT. Transporte de férias' WHERE LanguageTag = 'vacacionesiniciales'</v>
      </c>
      <c r="O58" s="5" t="str">
        <f>CONCATENATE("UPDATE ",Database_ESP[[#This Row],[Table]]," SET ",Database_ESP[[#This Row],[Column]]," = '",Database_ESP[[#This Row],[ESP]],"' WHERE LanguageTag = '",Database_ESP[[#This Row],[Tag]],"'")</f>
        <v>UPDATE startupvalues SET name = 'Vacaciones iniciales' WHERE LanguageTag = 'vacacionesiniciales'</v>
      </c>
      <c r="P58" s="5" t="str">
        <f>CONCATENATE("UPDATE ",Database_ESP[[#This Row],[Table]]," SET ",Database_ESP[[#This Row],[Column]]," = '",Database_ESP[[#This Row],[ENG]],"' WHERE LanguageTag = '",Database_ESP[[#This Row],[Tag]],"'")</f>
        <v>UPDATE startupvalues SET name = 'Initial vacation' WHERE LanguageTag = 'vacacionesiniciales'</v>
      </c>
      <c r="Q58" s="5" t="str">
        <f>CONCATENATE("UPDATE ",Database_ESP[[#This Row],[Table]]," SET ",Database_ESP[[#This Row],[Column]]," = '",Database_ESP[[#This Row],[FR]],"' WHERE LanguageTag = '",Database_ESP[[#This Row],[Tag]],"'")</f>
        <v>UPDATE startupvalues SET name = 'Vacances initiales' WHERE LanguageTag = 'vacacionesiniciales'</v>
      </c>
      <c r="R58" s="5" t="str">
        <f>CONCATENATE("UPDATE ",Database_ESP[[#This Row],[Table]]," SET ",Database_ESP[[#This Row],[Column]]," = '",Database_ESP[[#This Row],[IT]],"' WHERE LanguageTag = '",Database_ESP[[#This Row],[Tag]],"'")</f>
        <v>UPDATE startupvalues SET name = 'Vacanze iniziali' WHERE LanguageTag = 'vacacionesiniciales'</v>
      </c>
      <c r="S58" s="5" t="str">
        <f>CONCATENATE("UPDATE ",Database_ESP[[#This Row],[Table]]," SET ",Database_ESP[[#This Row],[Column]]," = '",Database_ESP[[#This Row],[SK]],"' WHERE LanguageTag = '",Database_ESP[[#This Row],[Tag]],"'")</f>
        <v>UPDATE startupvalues SET name = 'Počiatočné prázdniny' WHERE LanguageTag = 'vacacionesiniciales'</v>
      </c>
    </row>
    <row r="59" spans="1:19" ht="60" x14ac:dyDescent="0.25">
      <c r="A59" s="2" t="s">
        <v>502</v>
      </c>
      <c r="B59" s="2" t="str">
        <f t="shared" si="4"/>
        <v>RES_database_one.startupvalues.vacacionesiniciales.startvaluebase.rotext</v>
      </c>
      <c r="C59" s="2" t="str">
        <f t="shared" si="5"/>
        <v>startupvalues</v>
      </c>
      <c r="D59" s="2" t="str">
        <f t="shared" si="6"/>
        <v>vacacionesiniciales</v>
      </c>
      <c r="E59" s="2" t="str">
        <f t="shared" si="7"/>
        <v>startvaluebase</v>
      </c>
      <c r="F59" s="2" t="str">
        <f t="shared" si="8"/>
        <v>0</v>
      </c>
      <c r="G59" s="1" t="s">
        <v>560</v>
      </c>
      <c r="H59" s="1" t="s">
        <v>131</v>
      </c>
      <c r="I59" s="1" t="s">
        <v>560</v>
      </c>
      <c r="J59" s="1" t="s">
        <v>560</v>
      </c>
      <c r="K59" s="1" t="s">
        <v>560</v>
      </c>
      <c r="L59" s="1" t="s">
        <v>560</v>
      </c>
      <c r="M59" s="1" t="s">
        <v>560</v>
      </c>
      <c r="N59" s="5" t="str">
        <f>CONCATENATE("UPDATE ",Database_ESP[[#This Row],[Table]]," SET ",Database_ESP[[#This Row],[Column]]," = '",Database_ESP[[#This Row],[POR.XAVI.INICIAL]],"' WHERE LanguageTag = '",Database_ESP[[#This Row],[Tag]],"'")</f>
        <v>UPDATE startupvalues SET startvaluebase = 'VT. Expiração de férias' WHERE LanguageTag = 'vacacionesiniciales'</v>
      </c>
      <c r="O59" s="5" t="str">
        <f>CONCATENATE("UPDATE ",Database_ESP[[#This Row],[Table]]," SET ",Database_ESP[[#This Row],[Column]]," = '",Database_ESP[[#This Row],[ESP]],"' WHERE LanguageTag = '",Database_ESP[[#This Row],[Tag]],"'")</f>
        <v>UPDATE startupvalues SET startvaluebase = '0' WHERE LanguageTag = 'vacacionesiniciales'</v>
      </c>
      <c r="P59" s="5" t="str">
        <f>CONCATENATE("UPDATE ",Database_ESP[[#This Row],[Table]]," SET ",Database_ESP[[#This Row],[Column]]," = '",Database_ESP[[#This Row],[ENG]],"' WHERE LanguageTag = '",Database_ESP[[#This Row],[Tag]],"'")</f>
        <v>UPDATE startupvalues SET startvaluebase = '0' WHERE LanguageTag = 'vacacionesiniciales'</v>
      </c>
      <c r="Q59" s="5" t="str">
        <f>CONCATENATE("UPDATE ",Database_ESP[[#This Row],[Table]]," SET ",Database_ESP[[#This Row],[Column]]," = '",Database_ESP[[#This Row],[FR]],"' WHERE LanguageTag = '",Database_ESP[[#This Row],[Tag]],"'")</f>
        <v>UPDATE startupvalues SET startvaluebase = '0' WHERE LanguageTag = 'vacacionesiniciales'</v>
      </c>
      <c r="R59" s="5" t="str">
        <f>CONCATENATE("UPDATE ",Database_ESP[[#This Row],[Table]]," SET ",Database_ESP[[#This Row],[Column]]," = '",Database_ESP[[#This Row],[IT]],"' WHERE LanguageTag = '",Database_ESP[[#This Row],[Tag]],"'")</f>
        <v>UPDATE startupvalues SET startvaluebase = '0' WHERE LanguageTag = 'vacacionesiniciales'</v>
      </c>
      <c r="S59" s="5" t="str">
        <f>CONCATENATE("UPDATE ",Database_ESP[[#This Row],[Table]]," SET ",Database_ESP[[#This Row],[Column]]," = '",Database_ESP[[#This Row],[SK]],"' WHERE LanguageTag = '",Database_ESP[[#This Row],[Tag]],"'")</f>
        <v>UPDATE startupvalues SET startvaluebase = '0' WHERE LanguageTag = 'vacacionesiniciales'</v>
      </c>
    </row>
    <row r="60" spans="1:19" ht="405" x14ac:dyDescent="0.25">
      <c r="A60" s="2" t="s">
        <v>824</v>
      </c>
      <c r="B60" s="2" t="str">
        <f t="shared" si="4"/>
        <v>RES_database_one.sysroconcepttypes.horas.name.rotext</v>
      </c>
      <c r="C60" s="2" t="str">
        <f t="shared" si="5"/>
        <v>sysroconcepttypes</v>
      </c>
      <c r="D60" s="2" t="str">
        <f t="shared" si="6"/>
        <v>horas</v>
      </c>
      <c r="E60" s="2" t="str">
        <f t="shared" si="7"/>
        <v>name</v>
      </c>
      <c r="F60" s="2" t="str">
        <f t="shared" si="8"/>
        <v>Horas</v>
      </c>
      <c r="G60" s="1" t="s">
        <v>65</v>
      </c>
      <c r="H60" s="1" t="s">
        <v>197</v>
      </c>
      <c r="I60" s="1" t="s">
        <v>748</v>
      </c>
      <c r="J60" s="1" t="s">
        <v>561</v>
      </c>
      <c r="K60" s="1" t="s">
        <v>280</v>
      </c>
      <c r="L60" s="1" t="s">
        <v>681</v>
      </c>
      <c r="M60" s="1" t="s">
        <v>618</v>
      </c>
      <c r="N60" s="5" t="str">
        <f>CONCATENATE("UPDATE ",Database_ESP[[#This Row],[Table]]," SET ",Database_ESP[[#This Row],[Column]]," = '",Database_ESP[[#This Row],[POR.XAVI.INICIAL]],"' WHERE LanguageTag = '",Database_ESP[[#This Row],[Tag]],"'")</f>
        <v>UPDATE sysroconcepttypes SET name = 'As horas que foram planeadas para o trabalhador e que este deve gozar. Justificação interna do VisualTime, que não deve ser eliminada ou modificada.' WHERE LanguageTag = 'horas'</v>
      </c>
      <c r="O60" s="5" t="str">
        <f>CONCATENATE("UPDATE ",Database_ESP[[#This Row],[Table]]," SET ",Database_ESP[[#This Row],[Column]]," = '",Database_ESP[[#This Row],[ESP]],"' WHERE LanguageTag = '",Database_ESP[[#This Row],[Tag]],"'")</f>
        <v>UPDATE sysroconcepttypes SET name = 'Horas' WHERE LanguageTag = 'horas'</v>
      </c>
      <c r="P60" s="5" t="str">
        <f>CONCATENATE("UPDATE ",Database_ESP[[#This Row],[Table]]," SET ",Database_ESP[[#This Row],[Column]]," = '",Database_ESP[[#This Row],[ENG]],"' WHERE LanguageTag = '",Database_ESP[[#This Row],[Tag]],"'")</f>
        <v>UPDATE sysroconcepttypes SET name = 'hours' WHERE LanguageTag = 'horas'</v>
      </c>
      <c r="Q60" s="5" t="str">
        <f>CONCATENATE("UPDATE ",Database_ESP[[#This Row],[Table]]," SET ",Database_ESP[[#This Row],[Column]]," = '",Database_ESP[[#This Row],[FR]],"' WHERE LanguageTag = '",Database_ESP[[#This Row],[Tag]],"'")</f>
        <v>UPDATE sysroconcepttypes SET name = 'Heures' WHERE LanguageTag = 'horas'</v>
      </c>
      <c r="R60" s="5" t="str">
        <f>CONCATENATE("UPDATE ",Database_ESP[[#This Row],[Table]]," SET ",Database_ESP[[#This Row],[Column]]," = '",Database_ESP[[#This Row],[IT]],"' WHERE LanguageTag = '",Database_ESP[[#This Row],[Tag]],"'")</f>
        <v>UPDATE sysroconcepttypes SET name = 'ore' WHERE LanguageTag = 'horas'</v>
      </c>
      <c r="S60" s="5" t="str">
        <f>CONCATENATE("UPDATE ",Database_ESP[[#This Row],[Table]]," SET ",Database_ESP[[#This Row],[Column]]," = '",Database_ESP[[#This Row],[SK]],"' WHERE LanguageTag = '",Database_ESP[[#This Row],[Tag]],"'")</f>
        <v>UPDATE sysroconcepttypes SET name = 'hodiny' WHERE LanguageTag = 'horas'</v>
      </c>
    </row>
    <row r="61" spans="1:19" ht="60" x14ac:dyDescent="0.25">
      <c r="A61" s="2" t="s">
        <v>825</v>
      </c>
      <c r="B61" s="2" t="str">
        <f t="shared" si="4"/>
        <v>RES_database_one.sysroconcepttypes.mixtohorasocurrencias.name.rotext</v>
      </c>
      <c r="C61" s="2" t="str">
        <f t="shared" si="5"/>
        <v>sysroconcepttypes</v>
      </c>
      <c r="D61" s="2" t="str">
        <f t="shared" si="6"/>
        <v>mixtohorasocurrencias</v>
      </c>
      <c r="E61" s="2" t="str">
        <f t="shared" si="7"/>
        <v>name</v>
      </c>
      <c r="F61" s="2" t="str">
        <f t="shared" si="8"/>
        <v>Mixto (horas+ocurrencias)</v>
      </c>
      <c r="G61" s="1" t="s">
        <v>67</v>
      </c>
      <c r="H61" s="1" t="s">
        <v>152</v>
      </c>
      <c r="I61" s="1" t="s">
        <v>15</v>
      </c>
      <c r="J61" s="1" t="s">
        <v>222</v>
      </c>
      <c r="K61" s="1" t="s">
        <v>281</v>
      </c>
      <c r="L61" s="1" t="s">
        <v>356</v>
      </c>
      <c r="M61" s="1" t="s">
        <v>434</v>
      </c>
      <c r="N61" s="5" t="str">
        <f>CONCATENATE("UPDATE ",Database_ESP[[#This Row],[Table]]," SET ",Database_ESP[[#This Row],[Column]]," = '",Database_ESP[[#This Row],[POR.XAVI.INICIAL]],"' WHERE LanguageTag = '",Database_ESP[[#This Row],[Tag]],"'")</f>
        <v>UPDATE sysroconcepttypes SET name = 'VT. Horas planeadas' WHERE LanguageTag = 'mixtohorasocurrencias'</v>
      </c>
      <c r="O61" s="5" t="str">
        <f>CONCATENATE("UPDATE ",Database_ESP[[#This Row],[Table]]," SET ",Database_ESP[[#This Row],[Column]]," = '",Database_ESP[[#This Row],[ESP]],"' WHERE LanguageTag = '",Database_ESP[[#This Row],[Tag]],"'")</f>
        <v>UPDATE sysroconcepttypes SET name = 'Mixto (horas+ocurrencias)' WHERE LanguageTag = 'mixtohorasocurrencias'</v>
      </c>
      <c r="P61" s="5" t="str">
        <f>CONCATENATE("UPDATE ",Database_ESP[[#This Row],[Table]]," SET ",Database_ESP[[#This Row],[Column]]," = '",Database_ESP[[#This Row],[ENG]],"' WHERE LanguageTag = '",Database_ESP[[#This Row],[Tag]],"'")</f>
        <v>UPDATE sysroconcepttypes SET name = 'Mixed (hours+occurrences)' WHERE LanguageTag = 'mixtohorasocurrencias'</v>
      </c>
      <c r="Q61" s="5" t="str">
        <f>CONCATENATE("UPDATE ",Database_ESP[[#This Row],[Table]]," SET ",Database_ESP[[#This Row],[Column]]," = '",Database_ESP[[#This Row],[FR]],"' WHERE LanguageTag = '",Database_ESP[[#This Row],[Tag]],"'")</f>
        <v>UPDATE sysroconcepttypes SET name = 'Mixte (heures+occurrences)' WHERE LanguageTag = 'mixtohorasocurrencias'</v>
      </c>
      <c r="R61" s="5" t="str">
        <f>CONCATENATE("UPDATE ",Database_ESP[[#This Row],[Table]]," SET ",Database_ESP[[#This Row],[Column]]," = '",Database_ESP[[#This Row],[IT]],"' WHERE LanguageTag = '",Database_ESP[[#This Row],[Tag]],"'")</f>
        <v>UPDATE sysroconcepttypes SET name = 'Misto (ore+occorrenze)' WHERE LanguageTag = 'mixtohorasocurrencias'</v>
      </c>
      <c r="S61" s="5" t="str">
        <f>CONCATENATE("UPDATE ",Database_ESP[[#This Row],[Table]]," SET ",Database_ESP[[#This Row],[Column]]," = '",Database_ESP[[#This Row],[SK]],"' WHERE LanguageTag = '",Database_ESP[[#This Row],[Tag]],"'")</f>
        <v>UPDATE sysroconcepttypes SET name = 'Zmiešané (hodiny+výskyt)' WHERE LanguageTag = 'mixtohorasocurrencias'</v>
      </c>
    </row>
    <row r="62" spans="1:19" ht="409.5" x14ac:dyDescent="0.25">
      <c r="A62" s="2" t="s">
        <v>826</v>
      </c>
      <c r="B62" s="2" t="str">
        <f t="shared" si="4"/>
        <v>RES_database_one.sysroconcepttypes.ocurrencias.name.rotext</v>
      </c>
      <c r="C62" s="2" t="str">
        <f t="shared" si="5"/>
        <v>sysroconcepttypes</v>
      </c>
      <c r="D62" s="2" t="str">
        <f t="shared" si="6"/>
        <v>ocurrencias</v>
      </c>
      <c r="E62" s="2" t="str">
        <f t="shared" si="7"/>
        <v>name</v>
      </c>
      <c r="F62" s="2" t="str">
        <f t="shared" si="8"/>
        <v>Ocurrencias</v>
      </c>
      <c r="G62" s="1" t="s">
        <v>66</v>
      </c>
      <c r="H62" s="1" t="s">
        <v>153</v>
      </c>
      <c r="I62" s="1" t="s">
        <v>14</v>
      </c>
      <c r="J62" s="1" t="s">
        <v>223</v>
      </c>
      <c r="K62" s="1" t="s">
        <v>223</v>
      </c>
      <c r="L62" s="1" t="s">
        <v>357</v>
      </c>
      <c r="M62" s="1" t="s">
        <v>435</v>
      </c>
      <c r="N62" s="5" t="str">
        <f>CONCATENATE("UPDATE ",Database_ESP[[#This Row],[Table]]," SET ",Database_ESP[[#This Row],[Column]]," = '",Database_ESP[[#This Row],[POR.XAVI.INICIAL]],"' WHERE LanguageTag = '",Database_ESP[[#This Row],[Tag]],"'")</f>
        <v>UPDATE sysroconcepttypes SET name = 'Ausência sem motivo justificado que gera um alerta. O objetivo é que não haja tempo justificado para este motivo. Justificação VisualTime interna, a não apagar ou modificar.' WHERE LanguageTag = 'ocurrencias'</v>
      </c>
      <c r="O62" s="5" t="str">
        <f>CONCATENATE("UPDATE ",Database_ESP[[#This Row],[Table]]," SET ",Database_ESP[[#This Row],[Column]]," = '",Database_ESP[[#This Row],[ESP]],"' WHERE LanguageTag = '",Database_ESP[[#This Row],[Tag]],"'")</f>
        <v>UPDATE sysroconcepttypes SET name = 'Ocurrencias' WHERE LanguageTag = 'ocurrencias'</v>
      </c>
      <c r="P62" s="5" t="str">
        <f>CONCATENATE("UPDATE ",Database_ESP[[#This Row],[Table]]," SET ",Database_ESP[[#This Row],[Column]]," = '",Database_ESP[[#This Row],[ENG]],"' WHERE LanguageTag = '",Database_ESP[[#This Row],[Tag]],"'")</f>
        <v>UPDATE sysroconcepttypes SET name = 'Occurrences' WHERE LanguageTag = 'ocurrencias'</v>
      </c>
      <c r="Q62" s="5" t="str">
        <f>CONCATENATE("UPDATE ",Database_ESP[[#This Row],[Table]]," SET ",Database_ESP[[#This Row],[Column]]," = '",Database_ESP[[#This Row],[FR]],"' WHERE LanguageTag = '",Database_ESP[[#This Row],[Tag]],"'")</f>
        <v>UPDATE sysroconcepttypes SET name = 'Occurrences' WHERE LanguageTag = 'ocurrencias'</v>
      </c>
      <c r="R62" s="5" t="str">
        <f>CONCATENATE("UPDATE ",Database_ESP[[#This Row],[Table]]," SET ",Database_ESP[[#This Row],[Column]]," = '",Database_ESP[[#This Row],[IT]],"' WHERE LanguageTag = '",Database_ESP[[#This Row],[Tag]],"'")</f>
        <v>UPDATE sysroconcepttypes SET name = 'Occorrenze' WHERE LanguageTag = 'ocurrencias'</v>
      </c>
      <c r="S62" s="5" t="str">
        <f>CONCATENATE("UPDATE ",Database_ESP[[#This Row],[Table]]," SET ",Database_ESP[[#This Row],[Column]]," = '",Database_ESP[[#This Row],[SK]],"' WHERE LanguageTag = '",Database_ESP[[#This Row],[Tag]],"'")</f>
        <v>UPDATE sysroconcepttypes SET name = 'Výskyt' WHERE LanguageTag = 'ocurrencias'</v>
      </c>
    </row>
    <row r="63" spans="1:19" ht="75" x14ac:dyDescent="0.25">
      <c r="A63" s="2" t="s">
        <v>827</v>
      </c>
      <c r="B63" s="2" t="str">
        <f t="shared" si="4"/>
        <v>RES_database_one.sysroqueries.cerciorarnosdecuantolequedaalrecalculoquerealizavisualtimeyacuantosempleadosafecta.description.rotext</v>
      </c>
      <c r="C63" s="2" t="str">
        <f t="shared" si="5"/>
        <v>sysroqueries</v>
      </c>
      <c r="D63" s="2" t="str">
        <f t="shared" si="6"/>
        <v>cerciorarnosdecuantolequedaalrecalculoquerealizavisualtimeyacuantosempleadosafecta</v>
      </c>
      <c r="E63" s="2" t="str">
        <f t="shared" si="7"/>
        <v>description</v>
      </c>
      <c r="F63" s="2" t="str">
        <f t="shared" si="8"/>
        <v>Cerciorarnos de cuánto le queda al recalculo que realiza VisualTime y a cuántos empleados afecta</v>
      </c>
      <c r="G63" s="1" t="s">
        <v>76</v>
      </c>
      <c r="H63" s="1" t="s">
        <v>154</v>
      </c>
      <c r="I63" s="1" t="s">
        <v>749</v>
      </c>
      <c r="J63" s="1" t="s">
        <v>562</v>
      </c>
      <c r="K63" s="1" t="s">
        <v>282</v>
      </c>
      <c r="L63" s="1" t="s">
        <v>358</v>
      </c>
      <c r="M63" s="1" t="s">
        <v>436</v>
      </c>
      <c r="N63" s="5" t="str">
        <f>CONCATENATE("UPDATE ",Database_ESP[[#This Row],[Table]]," SET ",Database_ESP[[#This Row],[Column]]," = '",Database_ESP[[#This Row],[POR.XAVI.INICIAL]],"' WHERE LanguageTag = '",Database_ESP[[#This Row],[Tag]],"'")</f>
        <v>UPDATE sysroqueries SET description = 'VT. INEXCUSADO' WHERE LanguageTag = 'cerciorarnosdecuantolequedaalrecalculoquerealizavisualtimeyacuantosempleadosafecta'</v>
      </c>
      <c r="O63" s="5" t="str">
        <f>CONCATENATE("UPDATE ",Database_ESP[[#This Row],[Table]]," SET ",Database_ESP[[#This Row],[Column]]," = '",Database_ESP[[#This Row],[ESP]],"' WHERE LanguageTag = '",Database_ESP[[#This Row],[Tag]],"'")</f>
        <v>UPDATE sysroqueries SET description = 'Cerciorarnos de cuánto le queda al recalculo que realiza VisualTime y a cuántos empleados afecta' WHERE LanguageTag = 'cerciorarnosdecuantolequedaalrecalculoquerealizavisualtimeyacuantosempleadosafecta'</v>
      </c>
      <c r="P63" s="5" t="str">
        <f>CONCATENATE("UPDATE ",Database_ESP[[#This Row],[Table]]," SET ",Database_ESP[[#This Row],[Column]]," = '",Database_ESP[[#This Row],[ENG]],"' WHERE LanguageTag = '",Database_ESP[[#This Row],[Tag]],"'")</f>
        <v>UPDATE sysroqueries SET description = 'Make sure how much is left for the recalculation performed by VisualTime and how many employees it affects' WHERE LanguageTag = 'cerciorarnosdecuantolequedaalrecalculoquerealizavisualtimeyacuantosempleadosafecta'</v>
      </c>
      <c r="Q63" s="5" t="str">
        <f>CONCATENATE("UPDATE ",Database_ESP[[#This Row],[Table]]," SET ",Database_ESP[[#This Row],[Column]]," = '",Database_ESP[[#This Row],[FR]],"' WHERE LanguageTag = '",Database_ESP[[#This Row],[Tag]],"'")</f>
        <v>UPDATE sysroqueries SET description = 'Assurez-vous de la durée restante du recalcul de VisualTime et du nombre d'employés concernés' WHERE LanguageTag = 'cerciorarnosdecuantolequedaalrecalculoquerealizavisualtimeyacuantosempleadosafecta'</v>
      </c>
      <c r="R63" s="5" t="str">
        <f>CONCATENATE("UPDATE ",Database_ESP[[#This Row],[Table]]," SET ",Database_ESP[[#This Row],[Column]]," = '",Database_ESP[[#This Row],[IT]],"' WHERE LanguageTag = '",Database_ESP[[#This Row],[Tag]],"'")</f>
        <v>UPDATE sysroqueries SET description = 'Accertarsi di quanto sia rimasto del ricalcolo di VisualTime e di quanti dipendenti siano interessati' WHERE LanguageTag = 'cerciorarnosdecuantolequedaalrecalculoquerealizavisualtimeyacuantosempleadosafecta'</v>
      </c>
      <c r="S63" s="5" t="str">
        <f>CONCATENATE("UPDATE ",Database_ESP[[#This Row],[Table]]," SET ",Database_ESP[[#This Row],[Column]]," = '",Database_ESP[[#This Row],[SK]],"' WHERE LanguageTag = '",Database_ESP[[#This Row],[Tag]],"'")</f>
        <v>UPDATE sysroqueries SET description = 'Uistite sa, koľko zostáva z prepočtu VisualTime a koľkých zamestnancov sa to týka' WHERE LanguageTag = 'cerciorarnosdecuantolequedaalrecalculoquerealizavisualtimeyacuantosempleadosafecta'</v>
      </c>
    </row>
    <row r="64" spans="1:19" ht="105" x14ac:dyDescent="0.25">
      <c r="A64" s="2" t="s">
        <v>828</v>
      </c>
      <c r="B64" s="2" t="str">
        <f t="shared" si="4"/>
        <v>RES_database_one.sysroqueries.cerciorarnosdecuantolequedaalrecalculoquerealizavisualtimeyacuantosempleadosafecta.name.rotext</v>
      </c>
      <c r="C64" s="2" t="str">
        <f t="shared" si="5"/>
        <v>sysroqueries</v>
      </c>
      <c r="D64" s="2" t="str">
        <f t="shared" si="6"/>
        <v>cerciorarnosdecuantolequedaalrecalculoquerealizavisualtimeyacuantosempleadosafecta</v>
      </c>
      <c r="E64" s="2" t="str">
        <f t="shared" si="7"/>
        <v>name</v>
      </c>
      <c r="F64" s="2" t="str">
        <f t="shared" si="8"/>
        <v>Cerciorarnos de cuánto le queda al recalculo que realiza VisualTime y a cuántos empleados afecta</v>
      </c>
      <c r="G64" s="1" t="s">
        <v>76</v>
      </c>
      <c r="H64" s="1" t="s">
        <v>130</v>
      </c>
      <c r="I64" s="1" t="s">
        <v>749</v>
      </c>
      <c r="J64" s="1" t="s">
        <v>562</v>
      </c>
      <c r="K64" s="1" t="s">
        <v>282</v>
      </c>
      <c r="L64" s="1" t="s">
        <v>358</v>
      </c>
      <c r="M64" s="1" t="s">
        <v>436</v>
      </c>
      <c r="N64" s="5" t="str">
        <f>CONCATENATE("UPDATE ",Database_ESP[[#This Row],[Table]]," SET ",Database_ESP[[#This Row],[Column]]," = '",Database_ESP[[#This Row],[POR.XAVI.INICIAL]],"' WHERE LanguageTag = '",Database_ESP[[#This Row],[Tag]],"'")</f>
        <v>UPDATE sysroqueries SET name = 'VT. Excesso de tempo não autorizado' WHERE LanguageTag = 'cerciorarnosdecuantolequedaalrecalculoquerealizavisualtimeyacuantosempleadosafecta'</v>
      </c>
      <c r="O64" s="5" t="str">
        <f>CONCATENATE("UPDATE ",Database_ESP[[#This Row],[Table]]," SET ",Database_ESP[[#This Row],[Column]]," = '",Database_ESP[[#This Row],[ESP]],"' WHERE LanguageTag = '",Database_ESP[[#This Row],[Tag]],"'")</f>
        <v>UPDATE sysroqueries SET name = 'Cerciorarnos de cuánto le queda al recalculo que realiza VisualTime y a cuántos empleados afecta' WHERE LanguageTag = 'cerciorarnosdecuantolequedaalrecalculoquerealizavisualtimeyacuantosempleadosafecta'</v>
      </c>
      <c r="P64" s="5" t="str">
        <f>CONCATENATE("UPDATE ",Database_ESP[[#This Row],[Table]]," SET ",Database_ESP[[#This Row],[Column]]," = '",Database_ESP[[#This Row],[ENG]],"' WHERE LanguageTag = '",Database_ESP[[#This Row],[Tag]],"'")</f>
        <v>UPDATE sysroqueries SET name = 'Make sure how much is left for the recalculation performed by VisualTime and how many employees it affects' WHERE LanguageTag = 'cerciorarnosdecuantolequedaalrecalculoquerealizavisualtimeyacuantosempleadosafecta'</v>
      </c>
      <c r="Q64" s="5" t="str">
        <f>CONCATENATE("UPDATE ",Database_ESP[[#This Row],[Table]]," SET ",Database_ESP[[#This Row],[Column]]," = '",Database_ESP[[#This Row],[FR]],"' WHERE LanguageTag = '",Database_ESP[[#This Row],[Tag]],"'")</f>
        <v>UPDATE sysroqueries SET name = 'Assurez-vous de la durée restante du recalcul de VisualTime et du nombre d'employés concernés' WHERE LanguageTag = 'cerciorarnosdecuantolequedaalrecalculoquerealizavisualtimeyacuantosempleadosafecta'</v>
      </c>
      <c r="R64" s="5" t="str">
        <f>CONCATENATE("UPDATE ",Database_ESP[[#This Row],[Table]]," SET ",Database_ESP[[#This Row],[Column]]," = '",Database_ESP[[#This Row],[IT]],"' WHERE LanguageTag = '",Database_ESP[[#This Row],[Tag]],"'")</f>
        <v>UPDATE sysroqueries SET name = 'Accertarsi di quanto sia rimasto del ricalcolo di VisualTime e di quanti dipendenti siano interessati' WHERE LanguageTag = 'cerciorarnosdecuantolequedaalrecalculoquerealizavisualtimeyacuantosempleadosafecta'</v>
      </c>
      <c r="S64" s="5" t="str">
        <f>CONCATENATE("UPDATE ",Database_ESP[[#This Row],[Table]]," SET ",Database_ESP[[#This Row],[Column]]," = '",Database_ESP[[#This Row],[SK]],"' WHERE LanguageTag = '",Database_ESP[[#This Row],[Tag]],"'")</f>
        <v>UPDATE sysroqueries SET name = 'Uistite sa, koľko zostáva z prepočtu VisualTime a koľkých zamestnancov sa to týka' WHERE LanguageTag = 'cerciorarnosdecuantolequedaalrecalculoquerealizavisualtimeyacuantosempleadosafecta'</v>
      </c>
    </row>
    <row r="65" spans="1:19" ht="105" x14ac:dyDescent="0.25">
      <c r="A65" s="2" t="s">
        <v>829</v>
      </c>
      <c r="B65" s="2" t="str">
        <f t="shared" si="4"/>
        <v>RES_database_one.sysroqueries.comprobarelgrupoalquepertenecenlosempleadosrutacortaycompleta.description.rotext</v>
      </c>
      <c r="C65" s="2" t="str">
        <f t="shared" si="5"/>
        <v>sysroqueries</v>
      </c>
      <c r="D65" s="2" t="str">
        <f t="shared" si="6"/>
        <v>comprobarelgrupoalquepertenecenlosempleadosrutacortaycompleta</v>
      </c>
      <c r="E65" s="2" t="str">
        <f t="shared" si="7"/>
        <v>description</v>
      </c>
      <c r="F65" s="2" t="str">
        <f t="shared" si="8"/>
        <v>Comprobar el grupo al que pertenecen los empleados. Ruta corta y completa</v>
      </c>
      <c r="G65" s="1" t="s">
        <v>75</v>
      </c>
      <c r="H65" s="1" t="s">
        <v>130</v>
      </c>
      <c r="I65" s="1" t="s">
        <v>750</v>
      </c>
      <c r="J65" s="1" t="s">
        <v>224</v>
      </c>
      <c r="K65" s="1" t="s">
        <v>283</v>
      </c>
      <c r="L65" s="1" t="s">
        <v>359</v>
      </c>
      <c r="M65" s="1" t="s">
        <v>437</v>
      </c>
      <c r="N65" s="5" t="str">
        <f>CONCATENATE("UPDATE ",Database_ESP[[#This Row],[Table]]," SET ",Database_ESP[[#This Row],[Column]]," = '",Database_ESP[[#This Row],[POR.XAVI.INICIAL]],"' WHERE LanguageTag = '",Database_ESP[[#This Row],[Tag]],"'")</f>
        <v>UPDATE sysroqueries SET description = 'VT. Excesso de tempo não autorizado' WHERE LanguageTag = 'comprobarelgrupoalquepertenecenlosempleadosrutacortaycompleta'</v>
      </c>
      <c r="O65" s="5" t="str">
        <f>CONCATENATE("UPDATE ",Database_ESP[[#This Row],[Table]]," SET ",Database_ESP[[#This Row],[Column]]," = '",Database_ESP[[#This Row],[ESP]],"' WHERE LanguageTag = '",Database_ESP[[#This Row],[Tag]],"'")</f>
        <v>UPDATE sysroqueries SET description = 'Comprobar el grupo al que pertenecen los empleados. Ruta corta y completa' WHERE LanguageTag = 'comprobarelgrupoalquepertenecenlosempleadosrutacortaycompleta'</v>
      </c>
      <c r="P65" s="5" t="str">
        <f>CONCATENATE("UPDATE ",Database_ESP[[#This Row],[Table]]," SET ",Database_ESP[[#This Row],[Column]]," = '",Database_ESP[[#This Row],[ENG]],"' WHERE LanguageTag = '",Database_ESP[[#This Row],[Tag]],"'")</f>
        <v>UPDATE sysroqueries SET description = 'Check the group to which the employees belong. Short and complete route' WHERE LanguageTag = 'comprobarelgrupoalquepertenecenlosempleadosrutacortaycompleta'</v>
      </c>
      <c r="Q65" s="5" t="str">
        <f>CONCATENATE("UPDATE ",Database_ESP[[#This Row],[Table]]," SET ",Database_ESP[[#This Row],[Column]]," = '",Database_ESP[[#This Row],[FR]],"' WHERE LanguageTag = '",Database_ESP[[#This Row],[Tag]],"'")</f>
        <v>UPDATE sysroqueries SET description = 'Vérifier le groupe auquel appartiennent les employés. Itinéraire court et complet' WHERE LanguageTag = 'comprobarelgrupoalquepertenecenlosempleadosrutacortaycompleta'</v>
      </c>
      <c r="R65" s="5" t="str">
        <f>CONCATENATE("UPDATE ",Database_ESP[[#This Row],[Table]]," SET ",Database_ESP[[#This Row],[Column]]," = '",Database_ESP[[#This Row],[IT]],"' WHERE LanguageTag = '",Database_ESP[[#This Row],[Tag]],"'")</f>
        <v>UPDATE sysroqueries SET description = 'Controllare il gruppo di appartenenza dei dipendenti. Percorso breve e completo' WHERE LanguageTag = 'comprobarelgrupoalquepertenecenlosempleadosrutacortaycompleta'</v>
      </c>
      <c r="S65" s="5" t="str">
        <f>CONCATENATE("UPDATE ",Database_ESP[[#This Row],[Table]]," SET ",Database_ESP[[#This Row],[Column]]," = '",Database_ESP[[#This Row],[SK]],"' WHERE LanguageTag = '",Database_ESP[[#This Row],[Tag]],"'")</f>
        <v>UPDATE sysroqueries SET description = 'Skontrolujte skupinu, do ktorej zamestnanci patria. Krátka a úplná trasa' WHERE LanguageTag = 'comprobarelgrupoalquepertenecenlosempleadosrutacortaycompleta'</v>
      </c>
    </row>
    <row r="66" spans="1:19" ht="135" x14ac:dyDescent="0.25">
      <c r="A66" s="2" t="s">
        <v>830</v>
      </c>
      <c r="B66" s="2" t="str">
        <f t="shared" si="4"/>
        <v>RES_database_one.sysroqueries.comprobarelgrupoalquepertenecenlosempleadosrutacortaycompleta.name.rotext</v>
      </c>
      <c r="C66" s="2" t="str">
        <f t="shared" ref="C66:C97" si="9">MID(B66, FIND(".", B66) + 1, FIND(".", B66, FIND(".", B66) + 1) - FIND(".", B66) - 1)</f>
        <v>sysroqueries</v>
      </c>
      <c r="D66" s="2" t="str">
        <f t="shared" ref="D66:D97" si="10">MID(B66, FIND(".", B66, FIND(".", B66) + 1) + 1, FIND(".", B66, FIND(".", B66, FIND(".", B66) + 1) + 1) - FIND(".", B66, FIND(".", B66) + 1) - 1)</f>
        <v>comprobarelgrupoalquepertenecenlosempleadosrutacortaycompleta</v>
      </c>
      <c r="E66" s="2" t="str">
        <f t="shared" ref="E66:E97" si="11">MID(B66, FIND(".", B66, FIND(".", B66, FIND(".", B66) + 1) + 1) + 1, FIND(".", B66, FIND(".", B66, FIND(".", B66, FIND(".", B66) + 1) + 1) + 1) - FIND(".", B66, FIND(".", B66, FIND(".", B66) + 1) + 1) - 1)</f>
        <v>name</v>
      </c>
      <c r="F66" s="2" t="str">
        <f t="shared" ref="F66:F97" si="12">RIGHT(A66,LEN(A66) - SEARCH("=", A66))</f>
        <v>Comprobar el grupo al que pertenecen los empleados. Ruta corta y completa</v>
      </c>
      <c r="G66" s="1" t="s">
        <v>75</v>
      </c>
      <c r="H66" s="1" t="s">
        <v>155</v>
      </c>
      <c r="I66" s="1" t="s">
        <v>750</v>
      </c>
      <c r="J66" s="1" t="s">
        <v>224</v>
      </c>
      <c r="K66" s="1" t="s">
        <v>283</v>
      </c>
      <c r="L66" s="1" t="s">
        <v>359</v>
      </c>
      <c r="M66" s="1" t="s">
        <v>437</v>
      </c>
      <c r="N66" s="5" t="str">
        <f>CONCATENATE("UPDATE ",Database_ESP[[#This Row],[Table]]," SET ",Database_ESP[[#This Row],[Column]]," = '",Database_ESP[[#This Row],[POR.XAVI.INICIAL]],"' WHERE LanguageTag = '",Database_ESP[[#This Row],[Tag]],"'")</f>
        <v>UPDATE sysroqueries SET name = 'Tempo de ausência justificada não remunerada.' WHERE LanguageTag = 'comprobarelgrupoalquepertenecenlosempleadosrutacortaycompleta'</v>
      </c>
      <c r="O66" s="5" t="str">
        <f>CONCATENATE("UPDATE ",Database_ESP[[#This Row],[Table]]," SET ",Database_ESP[[#This Row],[Column]]," = '",Database_ESP[[#This Row],[ESP]],"' WHERE LanguageTag = '",Database_ESP[[#This Row],[Tag]],"'")</f>
        <v>UPDATE sysroqueries SET name = 'Comprobar el grupo al que pertenecen los empleados. Ruta corta y completa' WHERE LanguageTag = 'comprobarelgrupoalquepertenecenlosempleadosrutacortaycompleta'</v>
      </c>
      <c r="P66" s="5" t="str">
        <f>CONCATENATE("UPDATE ",Database_ESP[[#This Row],[Table]]," SET ",Database_ESP[[#This Row],[Column]]," = '",Database_ESP[[#This Row],[ENG]],"' WHERE LanguageTag = '",Database_ESP[[#This Row],[Tag]],"'")</f>
        <v>UPDATE sysroqueries SET name = 'Check the group to which the employees belong. Short and complete route' WHERE LanguageTag = 'comprobarelgrupoalquepertenecenlosempleadosrutacortaycompleta'</v>
      </c>
      <c r="Q66" s="5" t="str">
        <f>CONCATENATE("UPDATE ",Database_ESP[[#This Row],[Table]]," SET ",Database_ESP[[#This Row],[Column]]," = '",Database_ESP[[#This Row],[FR]],"' WHERE LanguageTag = '",Database_ESP[[#This Row],[Tag]],"'")</f>
        <v>UPDATE sysroqueries SET name = 'Vérifier le groupe auquel appartiennent les employés. Itinéraire court et complet' WHERE LanguageTag = 'comprobarelgrupoalquepertenecenlosempleadosrutacortaycompleta'</v>
      </c>
      <c r="R66" s="5" t="str">
        <f>CONCATENATE("UPDATE ",Database_ESP[[#This Row],[Table]]," SET ",Database_ESP[[#This Row],[Column]]," = '",Database_ESP[[#This Row],[IT]],"' WHERE LanguageTag = '",Database_ESP[[#This Row],[Tag]],"'")</f>
        <v>UPDATE sysroqueries SET name = 'Controllare il gruppo di appartenenza dei dipendenti. Percorso breve e completo' WHERE LanguageTag = 'comprobarelgrupoalquepertenecenlosempleadosrutacortaycompleta'</v>
      </c>
      <c r="S66" s="5" t="str">
        <f>CONCATENATE("UPDATE ",Database_ESP[[#This Row],[Table]]," SET ",Database_ESP[[#This Row],[Column]]," = '",Database_ESP[[#This Row],[SK]],"' WHERE LanguageTag = '",Database_ESP[[#This Row],[Tag]],"'")</f>
        <v>UPDATE sysroqueries SET name = 'Skontrolujte skupinu, do ktorej zamestnanci patria. Krátka a úplná trasa' WHERE LanguageTag = 'comprobarelgrupoalquepertenecenlosempleadosrutacortaycompleta'</v>
      </c>
    </row>
    <row r="67" spans="1:19" ht="60" x14ac:dyDescent="0.25">
      <c r="A67" s="2" t="s">
        <v>831</v>
      </c>
      <c r="B67" s="2" t="str">
        <f t="shared" ref="B67:B130" si="13">LEFT(A67,SEARCH("=",A67)-1)</f>
        <v>RES_database_one.sysroqueries.comprobarquehayalgunatareaquenohapodidoejecutarseconnormalidad.description.rotext</v>
      </c>
      <c r="C67" s="2" t="str">
        <f t="shared" si="9"/>
        <v>sysroqueries</v>
      </c>
      <c r="D67" s="2" t="str">
        <f t="shared" si="10"/>
        <v>comprobarquehayalgunatareaquenohapodidoejecutarseconnormalidad</v>
      </c>
      <c r="E67" s="2" t="str">
        <f t="shared" si="11"/>
        <v>description</v>
      </c>
      <c r="F67" s="2" t="str">
        <f t="shared" si="12"/>
        <v>Comprobar que hay alguna tarea que no ha podido ejecutarse con normalidad</v>
      </c>
      <c r="G67" s="1" t="s">
        <v>77</v>
      </c>
      <c r="H67" s="1" t="s">
        <v>156</v>
      </c>
      <c r="I67" s="1" t="s">
        <v>485</v>
      </c>
      <c r="J67" s="1" t="s">
        <v>563</v>
      </c>
      <c r="K67" s="1" t="s">
        <v>284</v>
      </c>
      <c r="L67" s="1" t="s">
        <v>360</v>
      </c>
      <c r="M67" s="1" t="s">
        <v>438</v>
      </c>
      <c r="N67" s="5" t="str">
        <f>CONCATENATE("UPDATE ",Database_ESP[[#This Row],[Table]]," SET ",Database_ESP[[#This Row],[Column]]," = '",Database_ESP[[#This Row],[POR.XAVI.INICIAL]],"' WHERE LanguageTag = '",Database_ESP[[#This Row],[Tag]],"'")</f>
        <v>UPDATE sysroqueries SET description = 'Ausência não remunerada' WHERE LanguageTag = 'comprobarquehayalgunatareaquenohapodidoejecutarseconnormalidad'</v>
      </c>
      <c r="O67" s="5" t="str">
        <f>CONCATENATE("UPDATE ",Database_ESP[[#This Row],[Table]]," SET ",Database_ESP[[#This Row],[Column]]," = '",Database_ESP[[#This Row],[ESP]],"' WHERE LanguageTag = '",Database_ESP[[#This Row],[Tag]],"'")</f>
        <v>UPDATE sysroqueries SET description = 'Comprobar que hay alguna tarea que no ha podido ejecutarse con normalidad' WHERE LanguageTag = 'comprobarquehayalgunatareaquenohapodidoejecutarseconnormalidad'</v>
      </c>
      <c r="P67" s="5" t="str">
        <f>CONCATENATE("UPDATE ",Database_ESP[[#This Row],[Table]]," SET ",Database_ESP[[#This Row],[Column]]," = '",Database_ESP[[#This Row],[ENG]],"' WHERE LanguageTag = '",Database_ESP[[#This Row],[Tag]],"'")</f>
        <v>UPDATE sysroqueries SET description = 'Check if there is a task that could not be executed normally' WHERE LanguageTag = 'comprobarquehayalgunatareaquenohapodidoejecutarseconnormalidad'</v>
      </c>
      <c r="Q67" s="5" t="str">
        <f>CONCATENATE("UPDATE ",Database_ESP[[#This Row],[Table]]," SET ",Database_ESP[[#This Row],[Column]]," = '",Database_ESP[[#This Row],[FR]],"' WHERE LanguageTag = '",Database_ESP[[#This Row],[Tag]],"'")</f>
        <v>UPDATE sysroqueries SET description = 'Vérifier qu'une tâche n'a pas pu être exécutée normalement' WHERE LanguageTag = 'comprobarquehayalgunatareaquenohapodidoejecutarseconnormalidad'</v>
      </c>
      <c r="R67" s="5" t="str">
        <f>CONCATENATE("UPDATE ",Database_ESP[[#This Row],[Table]]," SET ",Database_ESP[[#This Row],[Column]]," = '",Database_ESP[[#This Row],[IT]],"' WHERE LanguageTag = '",Database_ESP[[#This Row],[Tag]],"'")</f>
        <v>UPDATE sysroqueries SET description = 'Verificare se c'è un'attività che non può essere eseguita normalmente' WHERE LanguageTag = 'comprobarquehayalgunatareaquenohapodidoejecutarseconnormalidad'</v>
      </c>
      <c r="S67" s="5" t="str">
        <f>CONCATENATE("UPDATE ",Database_ESP[[#This Row],[Table]]," SET ",Database_ESP[[#This Row],[Column]]," = '",Database_ESP[[#This Row],[SK]],"' WHERE LanguageTag = '",Database_ESP[[#This Row],[Tag]],"'")</f>
        <v>UPDATE sysroqueries SET description = 'Skontrolujte, či existuje úloha, ktorú nebolo možné normálne vykonať' WHERE LanguageTag = 'comprobarquehayalgunatareaquenohapodidoejecutarseconnormalidad'</v>
      </c>
    </row>
    <row r="68" spans="1:19" ht="120" x14ac:dyDescent="0.25">
      <c r="A68" s="2" t="s">
        <v>832</v>
      </c>
      <c r="B68" s="2" t="str">
        <f t="shared" si="13"/>
        <v>RES_database_one.sysroqueries.comprobarquehayalgunatareaquenohapodidoejecutarseconnormalidad.name.rotext</v>
      </c>
      <c r="C68" s="2" t="str">
        <f t="shared" si="9"/>
        <v>sysroqueries</v>
      </c>
      <c r="D68" s="2" t="str">
        <f t="shared" si="10"/>
        <v>comprobarquehayalgunatareaquenohapodidoejecutarseconnormalidad</v>
      </c>
      <c r="E68" s="2" t="str">
        <f t="shared" si="11"/>
        <v>name</v>
      </c>
      <c r="F68" s="2" t="str">
        <f t="shared" si="12"/>
        <v>Comprobar que hay alguna tarea que no ha podido ejecutarse con normalidad</v>
      </c>
      <c r="G68" s="1" t="s">
        <v>77</v>
      </c>
      <c r="H68" s="1" t="s">
        <v>132</v>
      </c>
      <c r="I68" s="1" t="s">
        <v>485</v>
      </c>
      <c r="J68" s="1" t="s">
        <v>563</v>
      </c>
      <c r="K68" s="1" t="s">
        <v>284</v>
      </c>
      <c r="L68" s="1" t="s">
        <v>360</v>
      </c>
      <c r="M68" s="1" t="s">
        <v>438</v>
      </c>
      <c r="N68" s="5" t="str">
        <f>CONCATENATE("UPDATE ",Database_ESP[[#This Row],[Table]]," SET ",Database_ESP[[#This Row],[Column]]," = '",Database_ESP[[#This Row],[POR.XAVI.INICIAL]],"' WHERE LanguageTag = '",Database_ESP[[#This Row],[Tag]],"'")</f>
        <v>UPDATE sysroqueries SET name = 'Tempo de ausência justificada e remunerada.' WHERE LanguageTag = 'comprobarquehayalgunatareaquenohapodidoejecutarseconnormalidad'</v>
      </c>
      <c r="O68" s="5" t="str">
        <f>CONCATENATE("UPDATE ",Database_ESP[[#This Row],[Table]]," SET ",Database_ESP[[#This Row],[Column]]," = '",Database_ESP[[#This Row],[ESP]],"' WHERE LanguageTag = '",Database_ESP[[#This Row],[Tag]],"'")</f>
        <v>UPDATE sysroqueries SET name = 'Comprobar que hay alguna tarea que no ha podido ejecutarse con normalidad' WHERE LanguageTag = 'comprobarquehayalgunatareaquenohapodidoejecutarseconnormalidad'</v>
      </c>
      <c r="P68" s="5" t="str">
        <f>CONCATENATE("UPDATE ",Database_ESP[[#This Row],[Table]]," SET ",Database_ESP[[#This Row],[Column]]," = '",Database_ESP[[#This Row],[ENG]],"' WHERE LanguageTag = '",Database_ESP[[#This Row],[Tag]],"'")</f>
        <v>UPDATE sysroqueries SET name = 'Check if there is a task that could not be executed normally' WHERE LanguageTag = 'comprobarquehayalgunatareaquenohapodidoejecutarseconnormalidad'</v>
      </c>
      <c r="Q68" s="5" t="str">
        <f>CONCATENATE("UPDATE ",Database_ESP[[#This Row],[Table]]," SET ",Database_ESP[[#This Row],[Column]]," = '",Database_ESP[[#This Row],[FR]],"' WHERE LanguageTag = '",Database_ESP[[#This Row],[Tag]],"'")</f>
        <v>UPDATE sysroqueries SET name = 'Vérifier qu'une tâche n'a pas pu être exécutée normalement' WHERE LanguageTag = 'comprobarquehayalgunatareaquenohapodidoejecutarseconnormalidad'</v>
      </c>
      <c r="R68" s="5" t="str">
        <f>CONCATENATE("UPDATE ",Database_ESP[[#This Row],[Table]]," SET ",Database_ESP[[#This Row],[Column]]," = '",Database_ESP[[#This Row],[IT]],"' WHERE LanguageTag = '",Database_ESP[[#This Row],[Tag]],"'")</f>
        <v>UPDATE sysroqueries SET name = 'Verificare se c'è un'attività che non può essere eseguita normalmente' WHERE LanguageTag = 'comprobarquehayalgunatareaquenohapodidoejecutarseconnormalidad'</v>
      </c>
      <c r="S68" s="5" t="str">
        <f>CONCATENATE("UPDATE ",Database_ESP[[#This Row],[Table]]," SET ",Database_ESP[[#This Row],[Column]]," = '",Database_ESP[[#This Row],[SK]],"' WHERE LanguageTag = '",Database_ESP[[#This Row],[Tag]],"'")</f>
        <v>UPDATE sysroqueries SET name = 'Skontrolujte, či existuje úloha, ktorú nebolo možné normálne vykonať' WHERE LanguageTag = 'comprobarquehayalgunatareaquenohapodidoejecutarseconnormalidad'</v>
      </c>
    </row>
    <row r="69" spans="1:19" ht="60" x14ac:dyDescent="0.25">
      <c r="A69" s="2" t="s">
        <v>833</v>
      </c>
      <c r="B69" s="2" t="str">
        <f t="shared" si="13"/>
        <v>RES_database_one.sysroqueries.comprobarsiclientetienegpa.description.rotext</v>
      </c>
      <c r="C69" s="2" t="str">
        <f t="shared" si="9"/>
        <v>sysroqueries</v>
      </c>
      <c r="D69" s="2" t="str">
        <f t="shared" si="10"/>
        <v>comprobarsiclientetienegpa</v>
      </c>
      <c r="E69" s="2" t="str">
        <f t="shared" si="11"/>
        <v>description</v>
      </c>
      <c r="F69" s="2" t="str">
        <f t="shared" si="12"/>
        <v>Comprobar si cliente tiene GPA</v>
      </c>
      <c r="G69" s="1" t="s">
        <v>909</v>
      </c>
      <c r="H69" s="1" t="s">
        <v>157</v>
      </c>
      <c r="I69" s="1" t="s">
        <v>751</v>
      </c>
      <c r="J69" s="1" t="s">
        <v>564</v>
      </c>
      <c r="K69" s="1" t="s">
        <v>650</v>
      </c>
      <c r="L69" s="1" t="s">
        <v>682</v>
      </c>
      <c r="M69" s="1" t="s">
        <v>619</v>
      </c>
      <c r="N69" s="5" t="str">
        <f>CONCATENATE("UPDATE ",Database_ESP[[#This Row],[Table]]," SET ",Database_ESP[[#This Row],[Column]]," = '",Database_ESP[[#This Row],[POR.XAVI.INICIAL]],"' WHERE LanguageTag = '",Database_ESP[[#This Row],[Tag]],"'")</f>
        <v>UPDATE sysroqueries SET description = 'Ausência remunerada' WHERE LanguageTag = 'comprobarsiclientetienegpa'</v>
      </c>
      <c r="O69" s="5" t="str">
        <f>CONCATENATE("UPDATE ",Database_ESP[[#This Row],[Table]]," SET ",Database_ESP[[#This Row],[Column]]," = '",Database_ESP[[#This Row],[ESP]],"' WHERE LanguageTag = '",Database_ESP[[#This Row],[Tag]],"'")</f>
        <v>UPDATE sysroqueries SET description = 'Comprobar si cliente tiene GPA' WHERE LanguageTag = 'comprobarsiclientetienegpa'</v>
      </c>
      <c r="P69" s="5" t="str">
        <f>CONCATENATE("UPDATE ",Database_ESP[[#This Row],[Table]]," SET ",Database_ESP[[#This Row],[Column]]," = '",Database_ESP[[#This Row],[ENG]],"' WHERE LanguageTag = '",Database_ESP[[#This Row],[Tag]],"'")</f>
        <v>UPDATE sysroqueries SET description = 'Check if customer has GPA' WHERE LanguageTag = 'comprobarsiclientetienegpa'</v>
      </c>
      <c r="Q69" s="5" t="str">
        <f>CONCATENATE("UPDATE ",Database_ESP[[#This Row],[Table]]," SET ",Database_ESP[[#This Row],[Column]]," = '",Database_ESP[[#This Row],[FR]],"' WHERE LanguageTag = '",Database_ESP[[#This Row],[Tag]],"'")</f>
        <v>UPDATE sysroqueries SET description = 'Vérifier si le client a l'AMP' WHERE LanguageTag = 'comprobarsiclientetienegpa'</v>
      </c>
      <c r="R69" s="5" t="str">
        <f>CONCATENATE("UPDATE ",Database_ESP[[#This Row],[Table]]," SET ",Database_ESP[[#This Row],[Column]]," = '",Database_ESP[[#This Row],[IT]],"' WHERE LanguageTag = '",Database_ESP[[#This Row],[Tag]],"'")</f>
        <v>UPDATE sysroqueries SET description = 'Controllare se il cliente ha l'AAP' WHERE LanguageTag = 'comprobarsiclientetienegpa'</v>
      </c>
      <c r="S69" s="5" t="str">
        <f>CONCATENATE("UPDATE ",Database_ESP[[#This Row],[Table]]," SET ",Database_ESP[[#This Row],[Column]]," = '",Database_ESP[[#This Row],[SK]],"' WHERE LanguageTag = '",Database_ESP[[#This Row],[Tag]],"'")</f>
        <v>UPDATE sysroqueries SET description = 'Skontrolujte, či má klient GPA' WHERE LanguageTag = 'comprobarsiclientetienegpa'</v>
      </c>
    </row>
    <row r="70" spans="1:19" ht="409.5" x14ac:dyDescent="0.25">
      <c r="A70" s="2" t="s">
        <v>834</v>
      </c>
      <c r="B70" s="2" t="str">
        <f t="shared" si="13"/>
        <v>RES_database_one.sysroqueries.comprobarsiclientetienegpa.name.rotext</v>
      </c>
      <c r="C70" s="2" t="str">
        <f t="shared" si="9"/>
        <v>sysroqueries</v>
      </c>
      <c r="D70" s="2" t="str">
        <f t="shared" si="10"/>
        <v>comprobarsiclientetienegpa</v>
      </c>
      <c r="E70" s="2" t="str">
        <f t="shared" si="11"/>
        <v>name</v>
      </c>
      <c r="F70" s="2" t="str">
        <f t="shared" si="12"/>
        <v>Comprobar si cliente tiene GPA</v>
      </c>
      <c r="G70" s="1" t="s">
        <v>909</v>
      </c>
      <c r="H70" s="1" t="s">
        <v>158</v>
      </c>
      <c r="I70" s="1" t="s">
        <v>751</v>
      </c>
      <c r="J70" s="1" t="s">
        <v>564</v>
      </c>
      <c r="K70" s="1" t="s">
        <v>650</v>
      </c>
      <c r="L70" s="1" t="s">
        <v>682</v>
      </c>
      <c r="M70" s="1" t="s">
        <v>619</v>
      </c>
      <c r="N70" s="5" t="str">
        <f>CONCATENATE("UPDATE ",Database_ESP[[#This Row],[Table]]," SET ",Database_ESP[[#This Row],[Column]]," = '",Database_ESP[[#This Row],[POR.XAVI.INICIAL]],"' WHERE LanguageTag = '",Database_ESP[[#This Row],[Tag]],"'")</f>
        <v>UPDATE sysroqueries SET name = 'Este saldo deve subtrair todas as “horas a compensar” e adicionar todas as “horas compensadas”. Se o total deste saldo for negativo, o trabalhador deve horas à empresa.  Se o total deste saldo for positivo, a empresa deve horas ao empregado. ' WHERE LanguageTag = 'comprobarsiclientetienegpa'</v>
      </c>
      <c r="O70" s="5" t="str">
        <f>CONCATENATE("UPDATE ",Database_ESP[[#This Row],[Table]]," SET ",Database_ESP[[#This Row],[Column]]," = '",Database_ESP[[#This Row],[ESP]],"' WHERE LanguageTag = '",Database_ESP[[#This Row],[Tag]],"'")</f>
        <v>UPDATE sysroqueries SET name = 'Comprobar si cliente tiene GPA' WHERE LanguageTag = 'comprobarsiclientetienegpa'</v>
      </c>
      <c r="P70" s="5" t="str">
        <f>CONCATENATE("UPDATE ",Database_ESP[[#This Row],[Table]]," SET ",Database_ESP[[#This Row],[Column]]," = '",Database_ESP[[#This Row],[ENG]],"' WHERE LanguageTag = '",Database_ESP[[#This Row],[Tag]],"'")</f>
        <v>UPDATE sysroqueries SET name = 'Check if customer has GPA' WHERE LanguageTag = 'comprobarsiclientetienegpa'</v>
      </c>
      <c r="Q70" s="5" t="str">
        <f>CONCATENATE("UPDATE ",Database_ESP[[#This Row],[Table]]," SET ",Database_ESP[[#This Row],[Column]]," = '",Database_ESP[[#This Row],[FR]],"' WHERE LanguageTag = '",Database_ESP[[#This Row],[Tag]],"'")</f>
        <v>UPDATE sysroqueries SET name = 'Vérifier si le client a l'AMP' WHERE LanguageTag = 'comprobarsiclientetienegpa'</v>
      </c>
      <c r="R70" s="5" t="str">
        <f>CONCATENATE("UPDATE ",Database_ESP[[#This Row],[Table]]," SET ",Database_ESP[[#This Row],[Column]]," = '",Database_ESP[[#This Row],[IT]],"' WHERE LanguageTag = '",Database_ESP[[#This Row],[Tag]],"'")</f>
        <v>UPDATE sysroqueries SET name = 'Controllare se il cliente ha l'AAP' WHERE LanguageTag = 'comprobarsiclientetienegpa'</v>
      </c>
      <c r="S70" s="5" t="str">
        <f>CONCATENATE("UPDATE ",Database_ESP[[#This Row],[Table]]," SET ",Database_ESP[[#This Row],[Column]]," = '",Database_ESP[[#This Row],[SK]],"' WHERE LanguageTag = '",Database_ESP[[#This Row],[Tag]],"'")</f>
        <v>UPDATE sysroqueries SET name = 'Skontrolujte, či má klient GPA' WHERE LanguageTag = 'comprobarsiclientetienegpa'</v>
      </c>
    </row>
    <row r="71" spans="1:19" ht="60" x14ac:dyDescent="0.25">
      <c r="A71" s="2" t="s">
        <v>835</v>
      </c>
      <c r="B71" s="2" t="str">
        <f t="shared" si="13"/>
        <v>RES_database_one.sysroqueries.comprobarsielrecalculotrasloscambiosrealizadosenvisualtimeestafuncionandocorrectamente.description.rotext</v>
      </c>
      <c r="C71" s="2" t="str">
        <f t="shared" si="9"/>
        <v>sysroqueries</v>
      </c>
      <c r="D71" s="2" t="str">
        <f t="shared" si="10"/>
        <v>comprobarsielrecalculotrasloscambiosrealizadosenvisualtimeestafuncionandocorrectamente</v>
      </c>
      <c r="E71" s="2" t="str">
        <f t="shared" si="11"/>
        <v>description</v>
      </c>
      <c r="F71" s="2" t="str">
        <f t="shared" si="12"/>
        <v>Comprobar si el recálculo tras los cambios realizados en VisualTime está funcionando correctamente</v>
      </c>
      <c r="G71" s="1" t="s">
        <v>73</v>
      </c>
      <c r="H71" s="1" t="s">
        <v>159</v>
      </c>
      <c r="I71" s="1" t="s">
        <v>752</v>
      </c>
      <c r="J71" s="1" t="s">
        <v>565</v>
      </c>
      <c r="K71" s="1" t="s">
        <v>285</v>
      </c>
      <c r="L71" s="1" t="s">
        <v>361</v>
      </c>
      <c r="M71" s="1" t="s">
        <v>439</v>
      </c>
      <c r="N71" s="5" t="str">
        <f>CONCATENATE("UPDATE ",Database_ESP[[#This Row],[Table]]," SET ",Database_ESP[[#This Row],[Column]]," = '",Database_ESP[[#This Row],[POR.XAVI.INICIAL]],"' WHERE LanguageTag = '",Database_ESP[[#This Row],[Tag]],"'")</f>
        <v>UPDATE sysroqueries SET description = 'Saldo de horas' WHERE LanguageTag = 'comprobarsielrecalculotrasloscambiosrealizadosenvisualtimeestafuncionandocorrectamente'</v>
      </c>
      <c r="O71" s="5" t="str">
        <f>CONCATENATE("UPDATE ",Database_ESP[[#This Row],[Table]]," SET ",Database_ESP[[#This Row],[Column]]," = '",Database_ESP[[#This Row],[ESP]],"' WHERE LanguageTag = '",Database_ESP[[#This Row],[Tag]],"'")</f>
        <v>UPDATE sysroqueries SET description = 'Comprobar si el recálculo tras los cambios realizados en VisualTime está funcionando correctamente' WHERE LanguageTag = 'comprobarsielrecalculotrasloscambiosrealizadosenvisualtimeestafuncionandocorrectamente'</v>
      </c>
      <c r="P71" s="5" t="str">
        <f>CONCATENATE("UPDATE ",Database_ESP[[#This Row],[Table]]," SET ",Database_ESP[[#This Row],[Column]]," = '",Database_ESP[[#This Row],[ENG]],"' WHERE LanguageTag = '",Database_ESP[[#This Row],[Tag]],"'")</f>
        <v>UPDATE sysroqueries SET description = 'Check if recalculation after changes made in VisualTime is working correctly' WHERE LanguageTag = 'comprobarsielrecalculotrasloscambiosrealizadosenvisualtimeestafuncionandocorrectamente'</v>
      </c>
      <c r="Q71" s="5" t="str">
        <f>CONCATENATE("UPDATE ",Database_ESP[[#This Row],[Table]]," SET ",Database_ESP[[#This Row],[Column]]," = '",Database_ESP[[#This Row],[FR]],"' WHERE LanguageTag = '",Database_ESP[[#This Row],[Tag]],"'")</f>
        <v>UPDATE sysroqueries SET description = 'Vérifier si le recalcul après les changements effectués dans VisualTime fonctionne correctement' WHERE LanguageTag = 'comprobarsielrecalculotrasloscambiosrealizadosenvisualtimeestafuncionandocorrectamente'</v>
      </c>
      <c r="R71" s="5" t="str">
        <f>CONCATENATE("UPDATE ",Database_ESP[[#This Row],[Table]]," SET ",Database_ESP[[#This Row],[Column]]," = '",Database_ESP[[#This Row],[IT]],"' WHERE LanguageTag = '",Database_ESP[[#This Row],[Tag]],"'")</f>
        <v>UPDATE sysroqueries SET description = 'Controllare se il ricalcolo dopo le modifiche apportate in VisualTime funziona correttamente' WHERE LanguageTag = 'comprobarsielrecalculotrasloscambiosrealizadosenvisualtimeestafuncionandocorrectamente'</v>
      </c>
      <c r="S71" s="5" t="str">
        <f>CONCATENATE("UPDATE ",Database_ESP[[#This Row],[Table]]," SET ",Database_ESP[[#This Row],[Column]]," = '",Database_ESP[[#This Row],[SK]],"' WHERE LanguageTag = '",Database_ESP[[#This Row],[Tag]],"'")</f>
        <v>UPDATE sysroqueries SET description = 'Skontrolujte, či prepočet po zmenách vykonaných v aplikácii VisualTime funguje správne' WHERE LanguageTag = 'comprobarsielrecalculotrasloscambiosrealizadosenvisualtimeestafuncionandocorrectamente'</v>
      </c>
    </row>
    <row r="72" spans="1:19" ht="120" x14ac:dyDescent="0.25">
      <c r="A72" s="2" t="s">
        <v>836</v>
      </c>
      <c r="B72" s="2" t="str">
        <f t="shared" si="13"/>
        <v>RES_database_one.sysroqueries.comprobarsielrecalculotrasloscambiosrealizadosenvisualtimeestafuncionandocorrectamente.name.rotext</v>
      </c>
      <c r="C72" s="2" t="str">
        <f t="shared" si="9"/>
        <v>sysroqueries</v>
      </c>
      <c r="D72" s="2" t="str">
        <f t="shared" si="10"/>
        <v>comprobarsielrecalculotrasloscambiosrealizadosenvisualtimeestafuncionandocorrectamente</v>
      </c>
      <c r="E72" s="2" t="str">
        <f t="shared" si="11"/>
        <v>name</v>
      </c>
      <c r="F72" s="2" t="str">
        <f t="shared" si="12"/>
        <v>Comprobar si el recálculo tras los cambios realizados en VisualTime está funcionando correctamente</v>
      </c>
      <c r="G72" s="1" t="s">
        <v>73</v>
      </c>
      <c r="H72" s="1" t="s">
        <v>198</v>
      </c>
      <c r="I72" s="1" t="s">
        <v>752</v>
      </c>
      <c r="J72" s="1" t="s">
        <v>565</v>
      </c>
      <c r="K72" s="1" t="s">
        <v>285</v>
      </c>
      <c r="L72" s="1" t="s">
        <v>361</v>
      </c>
      <c r="M72" s="1" t="s">
        <v>439</v>
      </c>
      <c r="N72" s="5" t="str">
        <f>CONCATENATE("UPDATE ",Database_ESP[[#This Row],[Table]]," SET ",Database_ESP[[#This Row],[Column]]," = '",Database_ESP[[#This Row],[POR.XAVI.INICIAL]],"' WHERE LanguageTag = '",Database_ESP[[#This Row],[Tag]],"'")</f>
        <v>UPDATE sysroqueries SET name = 'Horas extraordinárias. Máximo de 80h por ano.' WHERE LanguageTag = 'comprobarsielrecalculotrasloscambiosrealizadosenvisualtimeestafuncionandocorrectamente'</v>
      </c>
      <c r="O72" s="5" t="str">
        <f>CONCATENATE("UPDATE ",Database_ESP[[#This Row],[Table]]," SET ",Database_ESP[[#This Row],[Column]]," = '",Database_ESP[[#This Row],[ESP]],"' WHERE LanguageTag = '",Database_ESP[[#This Row],[Tag]],"'")</f>
        <v>UPDATE sysroqueries SET name = 'Comprobar si el recálculo tras los cambios realizados en VisualTime está funcionando correctamente' WHERE LanguageTag = 'comprobarsielrecalculotrasloscambiosrealizadosenvisualtimeestafuncionandocorrectamente'</v>
      </c>
      <c r="P72" s="5" t="str">
        <f>CONCATENATE("UPDATE ",Database_ESP[[#This Row],[Table]]," SET ",Database_ESP[[#This Row],[Column]]," = '",Database_ESP[[#This Row],[ENG]],"' WHERE LanguageTag = '",Database_ESP[[#This Row],[Tag]],"'")</f>
        <v>UPDATE sysroqueries SET name = 'Check if recalculation after changes made in VisualTime is working correctly' WHERE LanguageTag = 'comprobarsielrecalculotrasloscambiosrealizadosenvisualtimeestafuncionandocorrectamente'</v>
      </c>
      <c r="Q72" s="5" t="str">
        <f>CONCATENATE("UPDATE ",Database_ESP[[#This Row],[Table]]," SET ",Database_ESP[[#This Row],[Column]]," = '",Database_ESP[[#This Row],[FR]],"' WHERE LanguageTag = '",Database_ESP[[#This Row],[Tag]],"'")</f>
        <v>UPDATE sysroqueries SET name = 'Vérifier si le recalcul après les changements effectués dans VisualTime fonctionne correctement' WHERE LanguageTag = 'comprobarsielrecalculotrasloscambiosrealizadosenvisualtimeestafuncionandocorrectamente'</v>
      </c>
      <c r="R72" s="5" t="str">
        <f>CONCATENATE("UPDATE ",Database_ESP[[#This Row],[Table]]," SET ",Database_ESP[[#This Row],[Column]]," = '",Database_ESP[[#This Row],[IT]],"' WHERE LanguageTag = '",Database_ESP[[#This Row],[Tag]],"'")</f>
        <v>UPDATE sysroqueries SET name = 'Controllare se il ricalcolo dopo le modifiche apportate in VisualTime funziona correttamente' WHERE LanguageTag = 'comprobarsielrecalculotrasloscambiosrealizadosenvisualtimeestafuncionandocorrectamente'</v>
      </c>
      <c r="S72" s="5" t="str">
        <f>CONCATENATE("UPDATE ",Database_ESP[[#This Row],[Table]]," SET ",Database_ESP[[#This Row],[Column]]," = '",Database_ESP[[#This Row],[SK]],"' WHERE LanguageTag = '",Database_ESP[[#This Row],[Tag]],"'")</f>
        <v>UPDATE sysroqueries SET name = 'Skontrolujte, či prepočet po zmenách vykonaných v aplikácii VisualTime funguje správne' WHERE LanguageTag = 'comprobarsielrecalculotrasloscambiosrealizadosenvisualtimeestafuncionandocorrectamente'</v>
      </c>
    </row>
    <row r="73" spans="1:19" ht="60" x14ac:dyDescent="0.25">
      <c r="A73" s="2" t="s">
        <v>837</v>
      </c>
      <c r="B73" s="2" t="str">
        <f t="shared" si="13"/>
        <v>RES_database_one.sysroqueries.permisosefectivos.description.rotext</v>
      </c>
      <c r="C73" s="2" t="str">
        <f t="shared" si="9"/>
        <v>sysroqueries</v>
      </c>
      <c r="D73" s="2" t="str">
        <f t="shared" si="10"/>
        <v>permisosefectivos</v>
      </c>
      <c r="E73" s="2" t="str">
        <f t="shared" si="11"/>
        <v>description</v>
      </c>
      <c r="F73" s="2" t="str">
        <f t="shared" si="12"/>
        <v>Mustra los permisos de los supervisores en V2</v>
      </c>
      <c r="G73" s="1" t="s">
        <v>910</v>
      </c>
      <c r="H73" s="1" t="s">
        <v>138</v>
      </c>
      <c r="I73" s="1" t="s">
        <v>753</v>
      </c>
      <c r="J73" s="1" t="s">
        <v>566</v>
      </c>
      <c r="K73" s="1" t="s">
        <v>651</v>
      </c>
      <c r="L73" s="1" t="s">
        <v>683</v>
      </c>
      <c r="M73" s="1" t="s">
        <v>620</v>
      </c>
      <c r="N73" s="5" t="str">
        <f>CONCATENATE("UPDATE ",Database_ESP[[#This Row],[Table]]," SET ",Database_ESP[[#This Row],[Column]]," = '",Database_ESP[[#This Row],[POR.XAVI.INICIAL]],"' WHERE LanguageTag = '",Database_ESP[[#This Row],[Tag]],"'")</f>
        <v>UPDATE sysroqueries SET description = 'Horas extraordinárias ' WHERE LanguageTag = 'permisosefectivos'</v>
      </c>
      <c r="O73" s="5" t="str">
        <f>CONCATENATE("UPDATE ",Database_ESP[[#This Row],[Table]]," SET ",Database_ESP[[#This Row],[Column]]," = '",Database_ESP[[#This Row],[ESP]],"' WHERE LanguageTag = '",Database_ESP[[#This Row],[Tag]],"'")</f>
        <v>UPDATE sysroqueries SET description = 'Mustra los permisos de los supervisores en V2' WHERE LanguageTag = 'permisosefectivos'</v>
      </c>
      <c r="P73" s="5" t="str">
        <f>CONCATENATE("UPDATE ",Database_ESP[[#This Row],[Table]]," SET ",Database_ESP[[#This Row],[Column]]," = '",Database_ESP[[#This Row],[ENG]],"' WHERE LanguageTag = '",Database_ESP[[#This Row],[Tag]],"'")</f>
        <v>UPDATE sysroqueries SET description = 'Mustra the permissions of the supervisors in V2' WHERE LanguageTag = 'permisosefectivos'</v>
      </c>
      <c r="Q73" s="5" t="str">
        <f>CONCATENATE("UPDATE ",Database_ESP[[#This Row],[Table]]," SET ",Database_ESP[[#This Row],[Column]]," = '",Database_ESP[[#This Row],[FR]],"' WHERE LanguageTag = '",Database_ESP[[#This Row],[Tag]],"'")</f>
        <v>UPDATE sysroqueries SET description = 'Mustra les permissions des superviseurs dans V2' WHERE LanguageTag = 'permisosefectivos'</v>
      </c>
      <c r="R73" s="5" t="str">
        <f>CONCATENATE("UPDATE ",Database_ESP[[#This Row],[Table]]," SET ",Database_ESP[[#This Row],[Column]]," = '",Database_ESP[[#This Row],[IT]],"' WHERE LanguageTag = '",Database_ESP[[#This Row],[Tag]],"'")</f>
        <v>UPDATE sysroqueries SET description = 'Mustra le autorizzazioni dei supervisori in V2' WHERE LanguageTag = 'permisosefectivos'</v>
      </c>
      <c r="S73" s="5" t="str">
        <f>CONCATENATE("UPDATE ",Database_ESP[[#This Row],[Table]]," SET ",Database_ESP[[#This Row],[Column]]," = '",Database_ESP[[#This Row],[SK]],"' WHERE LanguageTag = '",Database_ESP[[#This Row],[Tag]],"'")</f>
        <v>UPDATE sysroqueries SET description = 'Oprávnenia nadriadených v systéme V2' WHERE LanguageTag = 'permisosefectivos'</v>
      </c>
    </row>
    <row r="74" spans="1:19" ht="135" x14ac:dyDescent="0.25">
      <c r="A74" s="2" t="s">
        <v>838</v>
      </c>
      <c r="B74" s="2" t="str">
        <f t="shared" si="13"/>
        <v>RES_database_one.sysroqueries.permisosefectivos.name.rotext</v>
      </c>
      <c r="C74" s="2" t="str">
        <f t="shared" si="9"/>
        <v>sysroqueries</v>
      </c>
      <c r="D74" s="2" t="str">
        <f t="shared" si="10"/>
        <v>permisosefectivos</v>
      </c>
      <c r="E74" s="2" t="str">
        <f t="shared" si="11"/>
        <v>name</v>
      </c>
      <c r="F74" s="2" t="str">
        <f t="shared" si="12"/>
        <v>Permisos efectivos</v>
      </c>
      <c r="G74" s="1" t="s">
        <v>911</v>
      </c>
      <c r="H74" s="1" t="s">
        <v>199</v>
      </c>
      <c r="I74" s="1" t="s">
        <v>754</v>
      </c>
      <c r="J74" s="1" t="s">
        <v>567</v>
      </c>
      <c r="K74" s="1" t="s">
        <v>652</v>
      </c>
      <c r="L74" s="1" t="s">
        <v>684</v>
      </c>
      <c r="M74" s="1" t="s">
        <v>621</v>
      </c>
      <c r="N74" s="5" t="str">
        <f>CONCATENATE("UPDATE ",Database_ESP[[#This Row],[Table]]," SET ",Database_ESP[[#This Row],[Column]]," = '",Database_ESP[[#This Row],[POR.XAVI.INICIAL]],"' WHERE LanguageTag = '",Database_ESP[[#This Row],[Tag]],"'")</f>
        <v>UPDATE sysroqueries SET name = 'Horas suplementares para os contratos a tempo parcial.' WHERE LanguageTag = 'permisosefectivos'</v>
      </c>
      <c r="O74" s="5" t="str">
        <f>CONCATENATE("UPDATE ",Database_ESP[[#This Row],[Table]]," SET ",Database_ESP[[#This Row],[Column]]," = '",Database_ESP[[#This Row],[ESP]],"' WHERE LanguageTag = '",Database_ESP[[#This Row],[Tag]],"'")</f>
        <v>UPDATE sysroqueries SET name = 'Permisos efectivos' WHERE LanguageTag = 'permisosefectivos'</v>
      </c>
      <c r="P74" s="5" t="str">
        <f>CONCATENATE("UPDATE ",Database_ESP[[#This Row],[Table]]," SET ",Database_ESP[[#This Row],[Column]]," = '",Database_ESP[[#This Row],[ENG]],"' WHERE LanguageTag = '",Database_ESP[[#This Row],[Tag]],"'")</f>
        <v>UPDATE sysroqueries SET name = 'Effective leaves of absence' WHERE LanguageTag = 'permisosefectivos'</v>
      </c>
      <c r="Q74" s="5" t="str">
        <f>CONCATENATE("UPDATE ",Database_ESP[[#This Row],[Table]]," SET ",Database_ESP[[#This Row],[Column]]," = '",Database_ESP[[#This Row],[FR]],"' WHERE LanguageTag = '",Database_ESP[[#This Row],[Tag]],"'")</f>
        <v>UPDATE sysroqueries SET name = 'Congé effectif' WHERE LanguageTag = 'permisosefectivos'</v>
      </c>
      <c r="R74" s="5" t="str">
        <f>CONCATENATE("UPDATE ",Database_ESP[[#This Row],[Table]]," SET ",Database_ESP[[#This Row],[Column]]," = '",Database_ESP[[#This Row],[IT]],"' WHERE LanguageTag = '",Database_ESP[[#This Row],[Tag]],"'")</f>
        <v>UPDATE sysroqueries SET name = 'Congedo effettivo' WHERE LanguageTag = 'permisosefectivos'</v>
      </c>
      <c r="S74" s="5" t="str">
        <f>CONCATENATE("UPDATE ",Database_ESP[[#This Row],[Table]]," SET ",Database_ESP[[#This Row],[Column]]," = '",Database_ESP[[#This Row],[SK]],"' WHERE LanguageTag = '",Database_ESP[[#This Row],[Tag]],"'")</f>
        <v>UPDATE sysroqueries SET name = 'Skutočná dovolenka' WHERE LanguageTag = 'permisosefectivos'</v>
      </c>
    </row>
    <row r="75" spans="1:19" ht="60" x14ac:dyDescent="0.25">
      <c r="A75" s="2" t="s">
        <v>839</v>
      </c>
      <c r="B75" s="2" t="str">
        <f t="shared" si="13"/>
        <v>RES_database_one.sysroqueries.permisosefectivossobrefuncionalidadesconcretas.description.rotext</v>
      </c>
      <c r="C75" s="2" t="str">
        <f t="shared" si="9"/>
        <v>sysroqueries</v>
      </c>
      <c r="D75" s="2" t="str">
        <f t="shared" si="10"/>
        <v>permisosefectivossobrefuncionalidadesconcretas</v>
      </c>
      <c r="E75" s="2" t="str">
        <f t="shared" si="11"/>
        <v>description</v>
      </c>
      <c r="F75" s="2" t="str">
        <f t="shared" si="12"/>
        <v>Muestra los permisos sobre las funcionalidades de Empleados y Calendario de los supervisores en V2 sobre empleados</v>
      </c>
      <c r="G75" s="1" t="s">
        <v>912</v>
      </c>
      <c r="H75" s="1" t="s">
        <v>160</v>
      </c>
      <c r="I75" s="1" t="s">
        <v>755</v>
      </c>
      <c r="J75" s="1" t="s">
        <v>568</v>
      </c>
      <c r="K75" s="1" t="s">
        <v>653</v>
      </c>
      <c r="L75" s="1" t="s">
        <v>685</v>
      </c>
      <c r="M75" s="1" t="s">
        <v>622</v>
      </c>
      <c r="N75" s="5" t="str">
        <f>CONCATENATE("UPDATE ",Database_ESP[[#This Row],[Table]]," SET ",Database_ESP[[#This Row],[Column]]," = '",Database_ESP[[#This Row],[POR.XAVI.INICIAL]],"' WHERE LanguageTag = '",Database_ESP[[#This Row],[Tag]],"'")</f>
        <v>UPDATE sysroqueries SET description = 'Horas complementares' WHERE LanguageTag = 'permisosefectivossobrefuncionalidadesconcretas'</v>
      </c>
      <c r="O75" s="5" t="str">
        <f>CONCATENATE("UPDATE ",Database_ESP[[#This Row],[Table]]," SET ",Database_ESP[[#This Row],[Column]]," = '",Database_ESP[[#This Row],[ESP]],"' WHERE LanguageTag = '",Database_ESP[[#This Row],[Tag]],"'")</f>
        <v>UPDATE sysroqueries SET description = 'Muestra los permisos sobre las funcionalidades de Empleados y Calendario de los supervisores en V2 sobre empleados' WHERE LanguageTag = 'permisosefectivossobrefuncionalidadesconcretas'</v>
      </c>
      <c r="P75" s="5" t="str">
        <f>CONCATENATE("UPDATE ",Database_ESP[[#This Row],[Table]]," SET ",Database_ESP[[#This Row],[Column]]," = '",Database_ESP[[#This Row],[ENG]],"' WHERE LanguageTag = '",Database_ESP[[#This Row],[Tag]],"'")</f>
        <v>UPDATE sysroqueries SET description = 'Displays permissions on the Employee and Calendar functionalities of supervisors in V2 on employees' WHERE LanguageTag = 'permisosefectivossobrefuncionalidadesconcretas'</v>
      </c>
      <c r="Q75" s="5" t="str">
        <f>CONCATENATE("UPDATE ",Database_ESP[[#This Row],[Table]]," SET ",Database_ESP[[#This Row],[Column]]," = '",Database_ESP[[#This Row],[FR]],"' WHERE LanguageTag = '",Database_ESP[[#This Row],[Tag]],"'")</f>
        <v>UPDATE sysroqueries SET description = 'Affiche les permissions sur les fonctionnalités de l'employé et du calendrier des superviseurs dans la V2 sur les employés' WHERE LanguageTag = 'permisosefectivossobrefuncionalidadesconcretas'</v>
      </c>
      <c r="R75" s="5" t="str">
        <f>CONCATENATE("UPDATE ",Database_ESP[[#This Row],[Table]]," SET ",Database_ESP[[#This Row],[Column]]," = '",Database_ESP[[#This Row],[IT]],"' WHERE LanguageTag = '",Database_ESP[[#This Row],[Tag]],"'")</f>
        <v>UPDATE sysroqueries SET description = 'Visualizza le autorizzazioni per i dipendenti e le funzionalità del calendario dei supervisori in V2 sui dipendenti' WHERE LanguageTag = 'permisosefectivossobrefuncionalidadesconcretas'</v>
      </c>
      <c r="S75" s="5" t="str">
        <f>CONCATENATE("UPDATE ",Database_ESP[[#This Row],[Table]]," SET ",Database_ESP[[#This Row],[Column]]," = '",Database_ESP[[#This Row],[SK]],"' WHERE LanguageTag = '",Database_ESP[[#This Row],[Tag]],"'")</f>
        <v>UPDATE sysroqueries SET description = 'Zobrazuje oprávnenia na funkcie Zamestnanec a Kalendár nadriadených vo V2 na zamestnancoch' WHERE LanguageTag = 'permisosefectivossobrefuncionalidadesconcretas'</v>
      </c>
    </row>
    <row r="76" spans="1:19" ht="195" x14ac:dyDescent="0.25">
      <c r="A76" s="2" t="s">
        <v>840</v>
      </c>
      <c r="B76" s="2" t="str">
        <f t="shared" si="13"/>
        <v>RES_database_one.sysroqueries.permisosefectivossobrefuncionalidadesconcretas.name.rotext</v>
      </c>
      <c r="C76" s="2" t="str">
        <f t="shared" si="9"/>
        <v>sysroqueries</v>
      </c>
      <c r="D76" s="2" t="str">
        <f t="shared" si="10"/>
        <v>permisosefectivossobrefuncionalidadesconcretas</v>
      </c>
      <c r="E76" s="2" t="str">
        <f t="shared" si="11"/>
        <v>name</v>
      </c>
      <c r="F76" s="2" t="str">
        <f t="shared" si="12"/>
        <v>Permisos efectivos sobre funcionalidades concretas</v>
      </c>
      <c r="G76" s="1" t="s">
        <v>913</v>
      </c>
      <c r="H76" s="1" t="s">
        <v>161</v>
      </c>
      <c r="I76" s="1" t="s">
        <v>756</v>
      </c>
      <c r="J76" s="1" t="s">
        <v>569</v>
      </c>
      <c r="K76" s="1" t="s">
        <v>654</v>
      </c>
      <c r="L76" s="1" t="s">
        <v>686</v>
      </c>
      <c r="M76" s="1" t="s">
        <v>623</v>
      </c>
      <c r="N76" s="5" t="str">
        <f>CONCATENATE("UPDATE ",Database_ESP[[#This Row],[Table]]," SET ",Database_ESP[[#This Row],[Column]]," = '",Database_ESP[[#This Row],[POR.XAVI.INICIAL]],"' WHERE LanguageTag = '",Database_ESP[[#This Row],[Tag]],"'")</f>
        <v>UPDATE sysroqueries SET name = 'Tempo planeado, é o tempo que tenho de trabalhar de acordo com o horário.' WHERE LanguageTag = 'permisosefectivossobrefuncionalidadesconcretas'</v>
      </c>
      <c r="O76" s="5" t="str">
        <f>CONCATENATE("UPDATE ",Database_ESP[[#This Row],[Table]]," SET ",Database_ESP[[#This Row],[Column]]," = '",Database_ESP[[#This Row],[ESP]],"' WHERE LanguageTag = '",Database_ESP[[#This Row],[Tag]],"'")</f>
        <v>UPDATE sysroqueries SET name = 'Permisos efectivos sobre funcionalidades concretas' WHERE LanguageTag = 'permisosefectivossobrefuncionalidadesconcretas'</v>
      </c>
      <c r="P76" s="5" t="str">
        <f>CONCATENATE("UPDATE ",Database_ESP[[#This Row],[Table]]," SET ",Database_ESP[[#This Row],[Column]]," = '",Database_ESP[[#This Row],[ENG]],"' WHERE LanguageTag = '",Database_ESP[[#This Row],[Tag]],"'")</f>
        <v>UPDATE sysroqueries SET name = 'Effective permissions on specific functionalities' WHERE LanguageTag = 'permisosefectivossobrefuncionalidadesconcretas'</v>
      </c>
      <c r="Q76" s="5" t="str">
        <f>CONCATENATE("UPDATE ",Database_ESP[[#This Row],[Table]]," SET ",Database_ESP[[#This Row],[Column]]," = '",Database_ESP[[#This Row],[FR]],"' WHERE LanguageTag = '",Database_ESP[[#This Row],[Tag]],"'")</f>
        <v>UPDATE sysroqueries SET name = 'Permissions effectives sur des fonctionnalités spécifiques' WHERE LanguageTag = 'permisosefectivossobrefuncionalidadesconcretas'</v>
      </c>
      <c r="R76" s="5" t="str">
        <f>CONCATENATE("UPDATE ",Database_ESP[[#This Row],[Table]]," SET ",Database_ESP[[#This Row],[Column]]," = '",Database_ESP[[#This Row],[IT]],"' WHERE LanguageTag = '",Database_ESP[[#This Row],[Tag]],"'")</f>
        <v>UPDATE sysroqueries SET name = 'Autorizzazioni efficaci su funzionalità specifiche' WHERE LanguageTag = 'permisosefectivossobrefuncionalidadesconcretas'</v>
      </c>
      <c r="S76" s="5" t="str">
        <f>CONCATENATE("UPDATE ",Database_ESP[[#This Row],[Table]]," SET ",Database_ESP[[#This Row],[Column]]," = '",Database_ESP[[#This Row],[SK]],"' WHERE LanguageTag = '",Database_ESP[[#This Row],[Tag]],"'")</f>
        <v>UPDATE sysroqueries SET name = 'Účinné oprávnenia na konkrétne funkcie' WHERE LanguageTag = 'permisosefectivossobrefuncionalidadesconcretas'</v>
      </c>
    </row>
    <row r="77" spans="1:19" ht="45" x14ac:dyDescent="0.25">
      <c r="A77" s="2" t="s">
        <v>841</v>
      </c>
      <c r="B77" s="2" t="str">
        <f t="shared" si="13"/>
        <v>RES_database_one.sysroqueries.sabersielficherodecorrelacionestacorrectamenteintroducidoenbasededatos.description.rotext</v>
      </c>
      <c r="C77" s="2" t="str">
        <f t="shared" si="9"/>
        <v>sysroqueries</v>
      </c>
      <c r="D77" s="2" t="str">
        <f t="shared" si="10"/>
        <v>sabersielficherodecorrelacionestacorrectamenteintroducidoenbasededatos</v>
      </c>
      <c r="E77" s="2" t="str">
        <f t="shared" si="11"/>
        <v>description</v>
      </c>
      <c r="F77" s="2" t="str">
        <f t="shared" si="12"/>
        <v>Saber si el fichero de correlación está correctamente introducido en base de datos</v>
      </c>
      <c r="G77" s="1" t="s">
        <v>72</v>
      </c>
      <c r="H77" s="1" t="s">
        <v>11</v>
      </c>
      <c r="I77" s="1" t="s">
        <v>757</v>
      </c>
      <c r="J77" s="1" t="s">
        <v>570</v>
      </c>
      <c r="K77" s="1" t="s">
        <v>286</v>
      </c>
      <c r="L77" s="1" t="s">
        <v>362</v>
      </c>
      <c r="M77" s="1" t="s">
        <v>440</v>
      </c>
      <c r="N77" s="5" t="str">
        <f>CONCATENATE("UPDATE ",Database_ESP[[#This Row],[Table]]," SET ",Database_ESP[[#This Row],[Column]]," = '",Database_ESP[[#This Row],[POR.XAVI.INICIAL]],"' WHERE LanguageTag = '",Database_ESP[[#This Row],[Tag]],"'")</f>
        <v>UPDATE sysroqueries SET description = 'Tempo planeado' WHERE LanguageTag = 'sabersielficherodecorrelacionestacorrectamenteintroducidoenbasededatos'</v>
      </c>
      <c r="O77" s="5" t="str">
        <f>CONCATENATE("UPDATE ",Database_ESP[[#This Row],[Table]]," SET ",Database_ESP[[#This Row],[Column]]," = '",Database_ESP[[#This Row],[ESP]],"' WHERE LanguageTag = '",Database_ESP[[#This Row],[Tag]],"'")</f>
        <v>UPDATE sysroqueries SET description = 'Saber si el fichero de correlación está correctamente introducido en base de datos' WHERE LanguageTag = 'sabersielficherodecorrelacionestacorrectamenteintroducidoenbasededatos'</v>
      </c>
      <c r="P77" s="5" t="str">
        <f>CONCATENATE("UPDATE ",Database_ESP[[#This Row],[Table]]," SET ",Database_ESP[[#This Row],[Column]]," = '",Database_ESP[[#This Row],[ENG]],"' WHERE LanguageTag = '",Database_ESP[[#This Row],[Tag]],"'")</f>
        <v>UPDATE sysroqueries SET description = 'Check if the correlation file is correctly entered into the database' WHERE LanguageTag = 'sabersielficherodecorrelacionestacorrectamenteintroducidoenbasededatos'</v>
      </c>
      <c r="Q77" s="5" t="str">
        <f>CONCATENATE("UPDATE ",Database_ESP[[#This Row],[Table]]," SET ",Database_ESP[[#This Row],[Column]]," = '",Database_ESP[[#This Row],[FR]],"' WHERE LanguageTag = '",Database_ESP[[#This Row],[Tag]],"'")</f>
        <v>UPDATE sysroqueries SET description = 'Pour savoir si le fichier de corrélation est correctement introduit dans la base de données' WHERE LanguageTag = 'sabersielficherodecorrelacionestacorrectamenteintroducidoenbasededatos'</v>
      </c>
      <c r="R77" s="5" t="str">
        <f>CONCATENATE("UPDATE ",Database_ESP[[#This Row],[Table]]," SET ",Database_ESP[[#This Row],[Column]]," = '",Database_ESP[[#This Row],[IT]],"' WHERE LanguageTag = '",Database_ESP[[#This Row],[Tag]],"'")</f>
        <v>UPDATE sysroqueries SET description = 'Per sapere se il file di correlazione è stato inserito correttamente nel database' WHERE LanguageTag = 'sabersielficherodecorrelacionestacorrectamenteintroducidoenbasededatos'</v>
      </c>
      <c r="S77" s="5" t="str">
        <f>CONCATENATE("UPDATE ",Database_ESP[[#This Row],[Table]]," SET ",Database_ESP[[#This Row],[Column]]," = '",Database_ESP[[#This Row],[SK]],"' WHERE LanguageTag = '",Database_ESP[[#This Row],[Tag]],"'")</f>
        <v>UPDATE sysroqueries SET description = 'Ak chcete zistiť, či je korelačný súbor správne vložený do databázy' WHERE LanguageTag = 'sabersielficherodecorrelacionestacorrectamenteintroducidoenbasededatos'</v>
      </c>
    </row>
    <row r="78" spans="1:19" ht="240" x14ac:dyDescent="0.25">
      <c r="A78" s="2" t="s">
        <v>842</v>
      </c>
      <c r="B78" s="2" t="str">
        <f t="shared" si="13"/>
        <v>RES_database_one.sysroqueries.sabersielficherodecorrelacionestacorrectamenteintroducidoenbasededatos.name.rotext</v>
      </c>
      <c r="C78" s="2" t="str">
        <f t="shared" si="9"/>
        <v>sysroqueries</v>
      </c>
      <c r="D78" s="2" t="str">
        <f t="shared" si="10"/>
        <v>sabersielficherodecorrelacionestacorrectamenteintroducidoenbasededatos</v>
      </c>
      <c r="E78" s="2" t="str">
        <f t="shared" si="11"/>
        <v>name</v>
      </c>
      <c r="F78" s="2" t="str">
        <f t="shared" si="12"/>
        <v>Saber si el fichero de correlación está correctamente introducido en base de datos</v>
      </c>
      <c r="G78" s="1" t="s">
        <v>72</v>
      </c>
      <c r="H78" s="1" t="s">
        <v>162</v>
      </c>
      <c r="I78" s="1" t="s">
        <v>757</v>
      </c>
      <c r="J78" s="1" t="s">
        <v>570</v>
      </c>
      <c r="K78" s="1" t="s">
        <v>286</v>
      </c>
      <c r="L78" s="1" t="s">
        <v>362</v>
      </c>
      <c r="M78" s="1" t="s">
        <v>440</v>
      </c>
      <c r="N78" s="5" t="str">
        <f>CONCATENATE("UPDATE ",Database_ESP[[#This Row],[Table]]," SET ",Database_ESP[[#This Row],[Column]]," = '",Database_ESP[[#This Row],[POR.XAVI.INICIAL]],"' WHERE LanguageTag = '",Database_ESP[[#This Row],[Tag]],"'")</f>
        <v>UPDATE sysroqueries SET name = 'Todo o tempo que é considerado como trabalho efetivo, sem contar com as horas extraordinárias.' WHERE LanguageTag = 'sabersielficherodecorrelacionestacorrectamenteintroducidoenbasededatos'</v>
      </c>
      <c r="O78" s="5" t="str">
        <f>CONCATENATE("UPDATE ",Database_ESP[[#This Row],[Table]]," SET ",Database_ESP[[#This Row],[Column]]," = '",Database_ESP[[#This Row],[ESP]],"' WHERE LanguageTag = '",Database_ESP[[#This Row],[Tag]],"'")</f>
        <v>UPDATE sysroqueries SET name = 'Saber si el fichero de correlación está correctamente introducido en base de datos' WHERE LanguageTag = 'sabersielficherodecorrelacionestacorrectamenteintroducidoenbasededatos'</v>
      </c>
      <c r="P78" s="5" t="str">
        <f>CONCATENATE("UPDATE ",Database_ESP[[#This Row],[Table]]," SET ",Database_ESP[[#This Row],[Column]]," = '",Database_ESP[[#This Row],[ENG]],"' WHERE LanguageTag = '",Database_ESP[[#This Row],[Tag]],"'")</f>
        <v>UPDATE sysroqueries SET name = 'Check if the correlation file is correctly entered into the database' WHERE LanguageTag = 'sabersielficherodecorrelacionestacorrectamenteintroducidoenbasededatos'</v>
      </c>
      <c r="Q78" s="5" t="str">
        <f>CONCATENATE("UPDATE ",Database_ESP[[#This Row],[Table]]," SET ",Database_ESP[[#This Row],[Column]]," = '",Database_ESP[[#This Row],[FR]],"' WHERE LanguageTag = '",Database_ESP[[#This Row],[Tag]],"'")</f>
        <v>UPDATE sysroqueries SET name = 'Pour savoir si le fichier de corrélation est correctement introduit dans la base de données' WHERE LanguageTag = 'sabersielficherodecorrelacionestacorrectamenteintroducidoenbasededatos'</v>
      </c>
      <c r="R78" s="5" t="str">
        <f>CONCATENATE("UPDATE ",Database_ESP[[#This Row],[Table]]," SET ",Database_ESP[[#This Row],[Column]]," = '",Database_ESP[[#This Row],[IT]],"' WHERE LanguageTag = '",Database_ESP[[#This Row],[Tag]],"'")</f>
        <v>UPDATE sysroqueries SET name = 'Per sapere se il file di correlazione è stato inserito correttamente nel database' WHERE LanguageTag = 'sabersielficherodecorrelacionestacorrectamenteintroducidoenbasededatos'</v>
      </c>
      <c r="S78" s="5" t="str">
        <f>CONCATENATE("UPDATE ",Database_ESP[[#This Row],[Table]]," SET ",Database_ESP[[#This Row],[Column]]," = '",Database_ESP[[#This Row],[SK]],"' WHERE LanguageTag = '",Database_ESP[[#This Row],[Tag]],"'")</f>
        <v>UPDATE sysroqueries SET name = 'Ak chcete zistiť, či je korelačný súbor správne vložený do databázy' WHERE LanguageTag = 'sabersielficherodecorrelacionestacorrectamenteintroducidoenbasededatos'</v>
      </c>
    </row>
    <row r="79" spans="1:19" ht="45" x14ac:dyDescent="0.25">
      <c r="A79" s="2" t="s">
        <v>843</v>
      </c>
      <c r="B79" s="2" t="str">
        <f t="shared" si="13"/>
        <v>RES_database_one.sysroqueries.sabersihayalguninformeplanificadoejecutandose.description.rotext</v>
      </c>
      <c r="C79" s="2" t="str">
        <f t="shared" si="9"/>
        <v>sysroqueries</v>
      </c>
      <c r="D79" s="2" t="str">
        <f t="shared" si="10"/>
        <v>sabersihayalguninformeplanificadoejecutandose</v>
      </c>
      <c r="E79" s="2" t="str">
        <f t="shared" si="11"/>
        <v>description</v>
      </c>
      <c r="F79" s="2" t="str">
        <f t="shared" si="12"/>
        <v>Saber si hay algún informe planificado ejecutándose</v>
      </c>
      <c r="G79" s="1" t="s">
        <v>914</v>
      </c>
      <c r="H79" s="1" t="s">
        <v>163</v>
      </c>
      <c r="I79" s="1" t="s">
        <v>758</v>
      </c>
      <c r="J79" s="1" t="s">
        <v>571</v>
      </c>
      <c r="K79" s="1" t="s">
        <v>655</v>
      </c>
      <c r="L79" s="1" t="s">
        <v>687</v>
      </c>
      <c r="M79" s="1" t="s">
        <v>624</v>
      </c>
      <c r="N79" s="5" t="str">
        <f>CONCATENATE("UPDATE ",Database_ESP[[#This Row],[Table]]," SET ",Database_ESP[[#This Row],[Column]]," = '",Database_ESP[[#This Row],[POR.XAVI.INICIAL]],"' WHERE LanguageTag = '",Database_ESP[[#This Row],[Tag]],"'")</f>
        <v>UPDATE sysroqueries SET description = 'Trabalho efetivo' WHERE LanguageTag = 'sabersihayalguninformeplanificadoejecutandose'</v>
      </c>
      <c r="O79" s="5" t="str">
        <f>CONCATENATE("UPDATE ",Database_ESP[[#This Row],[Table]]," SET ",Database_ESP[[#This Row],[Column]]," = '",Database_ESP[[#This Row],[ESP]],"' WHERE LanguageTag = '",Database_ESP[[#This Row],[Tag]],"'")</f>
        <v>UPDATE sysroqueries SET description = 'Saber si hay algún informe planificado ejecutándose' WHERE LanguageTag = 'sabersihayalguninformeplanificadoejecutandose'</v>
      </c>
      <c r="P79" s="5" t="str">
        <f>CONCATENATE("UPDATE ",Database_ESP[[#This Row],[Table]]," SET ",Database_ESP[[#This Row],[Column]]," = '",Database_ESP[[#This Row],[ENG]],"' WHERE LanguageTag = '",Database_ESP[[#This Row],[Tag]],"'")</f>
        <v>UPDATE sysroqueries SET description = 'To know if there are any planned reports being executed' WHERE LanguageTag = 'sabersihayalguninformeplanificadoejecutandose'</v>
      </c>
      <c r="Q79" s="5" t="str">
        <f>CONCATENATE("UPDATE ",Database_ESP[[#This Row],[Table]]," SET ",Database_ESP[[#This Row],[Column]]," = '",Database_ESP[[#This Row],[FR]],"' WHERE LanguageTag = '",Database_ESP[[#This Row],[Tag]],"'")</f>
        <v>UPDATE sysroqueries SET description = 'Savoir si des rapports planifiés sont en cours d'exécution' WHERE LanguageTag = 'sabersihayalguninformeplanificadoejecutandose'</v>
      </c>
      <c r="R79" s="5" t="str">
        <f>CONCATENATE("UPDATE ",Database_ESP[[#This Row],[Table]]," SET ",Database_ESP[[#This Row],[Column]]," = '",Database_ESP[[#This Row],[IT]],"' WHERE LanguageTag = '",Database_ESP[[#This Row],[Tag]],"'")</f>
        <v>UPDATE sysroqueries SET description = 'Sapere se sono in corso di esecuzione rapporti pianificati' WHERE LanguageTag = 'sabersihayalguninformeplanificadoejecutandose'</v>
      </c>
      <c r="S79" s="5" t="str">
        <f>CONCATENATE("UPDATE ",Database_ESP[[#This Row],[Table]]," SET ",Database_ESP[[#This Row],[Column]]," = '",Database_ESP[[#This Row],[SK]],"' WHERE LanguageTag = '",Database_ESP[[#This Row],[Tag]],"'")</f>
        <v>UPDATE sysroqueries SET description = 'Zistite, či sa vykonávajú nejaké plánované správy' WHERE LanguageTag = 'sabersihayalguninformeplanificadoejecutandose'</v>
      </c>
    </row>
    <row r="80" spans="1:19" ht="60" x14ac:dyDescent="0.25">
      <c r="A80" s="2" t="s">
        <v>844</v>
      </c>
      <c r="B80" s="2" t="str">
        <f t="shared" si="13"/>
        <v>RES_database_one.sysroqueries.sabersihayalguninformeplanificadoejecutandose.name.rotext</v>
      </c>
      <c r="C80" s="2" t="str">
        <f t="shared" si="9"/>
        <v>sysroqueries</v>
      </c>
      <c r="D80" s="2" t="str">
        <f t="shared" si="10"/>
        <v>sabersihayalguninformeplanificadoejecutandose</v>
      </c>
      <c r="E80" s="2" t="str">
        <f t="shared" si="11"/>
        <v>name</v>
      </c>
      <c r="F80" s="2" t="str">
        <f t="shared" si="12"/>
        <v>Saber si hay algún informe planificado ejecutándose</v>
      </c>
      <c r="G80" s="1" t="s">
        <v>914</v>
      </c>
      <c r="H80" s="1" t="s">
        <v>117</v>
      </c>
      <c r="I80" s="1" t="s">
        <v>758</v>
      </c>
      <c r="J80" s="1" t="s">
        <v>571</v>
      </c>
      <c r="K80" s="1" t="s">
        <v>655</v>
      </c>
      <c r="L80" s="1" t="s">
        <v>687</v>
      </c>
      <c r="M80" s="1" t="s">
        <v>624</v>
      </c>
      <c r="N80" s="5" t="str">
        <f>CONCATENATE("UPDATE ",Database_ESP[[#This Row],[Table]]," SET ",Database_ESP[[#This Row],[Column]]," = '",Database_ESP[[#This Row],[POR.XAVI.INICIAL]],"' WHERE LanguageTag = '",Database_ESP[[#This Row],[Tag]],"'")</f>
        <v>UPDATE sysroqueries SET name = 'Férias do ano anterior' WHERE LanguageTag = 'sabersihayalguninformeplanificadoejecutandose'</v>
      </c>
      <c r="O80" s="5" t="str">
        <f>CONCATENATE("UPDATE ",Database_ESP[[#This Row],[Table]]," SET ",Database_ESP[[#This Row],[Column]]," = '",Database_ESP[[#This Row],[ESP]],"' WHERE LanguageTag = '",Database_ESP[[#This Row],[Tag]],"'")</f>
        <v>UPDATE sysroqueries SET name = 'Saber si hay algún informe planificado ejecutándose' WHERE LanguageTag = 'sabersihayalguninformeplanificadoejecutandose'</v>
      </c>
      <c r="P80" s="5" t="str">
        <f>CONCATENATE("UPDATE ",Database_ESP[[#This Row],[Table]]," SET ",Database_ESP[[#This Row],[Column]]," = '",Database_ESP[[#This Row],[ENG]],"' WHERE LanguageTag = '",Database_ESP[[#This Row],[Tag]],"'")</f>
        <v>UPDATE sysroqueries SET name = 'To know if there are any planned reports being executed' WHERE LanguageTag = 'sabersihayalguninformeplanificadoejecutandose'</v>
      </c>
      <c r="Q80" s="5" t="str">
        <f>CONCATENATE("UPDATE ",Database_ESP[[#This Row],[Table]]," SET ",Database_ESP[[#This Row],[Column]]," = '",Database_ESP[[#This Row],[FR]],"' WHERE LanguageTag = '",Database_ESP[[#This Row],[Tag]],"'")</f>
        <v>UPDATE sysroqueries SET name = 'Savoir si des rapports planifiés sont en cours d'exécution' WHERE LanguageTag = 'sabersihayalguninformeplanificadoejecutandose'</v>
      </c>
      <c r="R80" s="5" t="str">
        <f>CONCATENATE("UPDATE ",Database_ESP[[#This Row],[Table]]," SET ",Database_ESP[[#This Row],[Column]]," = '",Database_ESP[[#This Row],[IT]],"' WHERE LanguageTag = '",Database_ESP[[#This Row],[Tag]],"'")</f>
        <v>UPDATE sysroqueries SET name = 'Sapere se sono in corso di esecuzione rapporti pianificati' WHERE LanguageTag = 'sabersihayalguninformeplanificadoejecutandose'</v>
      </c>
      <c r="S80" s="5" t="str">
        <f>CONCATENATE("UPDATE ",Database_ESP[[#This Row],[Table]]," SET ",Database_ESP[[#This Row],[Column]]," = '",Database_ESP[[#This Row],[SK]],"' WHERE LanguageTag = '",Database_ESP[[#This Row],[Tag]],"'")</f>
        <v>UPDATE sysroqueries SET name = 'Zistite, či sa vykonávajú nejaké plánované správy' WHERE LanguageTag = 'sabersihayalguninformeplanificadoejecutandose'</v>
      </c>
    </row>
    <row r="81" spans="1:19" ht="60" x14ac:dyDescent="0.25">
      <c r="A81" s="2" t="s">
        <v>845</v>
      </c>
      <c r="B81" s="2" t="str">
        <f t="shared" si="13"/>
        <v>RES_database_one.sysroqueries.verlosfichajesquehahabidoenunafechaenconcretopoderescogerfecha.description.rotext</v>
      </c>
      <c r="C81" s="2" t="str">
        <f t="shared" si="9"/>
        <v>sysroqueries</v>
      </c>
      <c r="D81" s="2" t="str">
        <f t="shared" si="10"/>
        <v>verlosfichajesquehahabidoenunafechaenconcretopoderescogerfecha</v>
      </c>
      <c r="E81" s="2" t="str">
        <f t="shared" si="11"/>
        <v>description</v>
      </c>
      <c r="F81" s="2" t="str">
        <f t="shared" si="12"/>
        <v>Ver los fichajes que ha habido en una fecha en concreto (poder escoger fecha)</v>
      </c>
      <c r="G81" s="1" t="s">
        <v>74</v>
      </c>
      <c r="H81" s="1" t="s">
        <v>117</v>
      </c>
      <c r="I81" s="1" t="s">
        <v>759</v>
      </c>
      <c r="J81" s="1" t="s">
        <v>572</v>
      </c>
      <c r="K81" s="1" t="s">
        <v>287</v>
      </c>
      <c r="L81" s="1" t="s">
        <v>363</v>
      </c>
      <c r="M81" s="1" t="s">
        <v>441</v>
      </c>
      <c r="N81" s="5" t="str">
        <f>CONCATENATE("UPDATE ",Database_ESP[[#This Row],[Table]]," SET ",Database_ESP[[#This Row],[Column]]," = '",Database_ESP[[#This Row],[POR.XAVI.INICIAL]],"' WHERE LanguageTag = '",Database_ESP[[#This Row],[Tag]],"'")</f>
        <v>UPDATE sysroqueries SET description = 'Férias do ano anterior' WHERE LanguageTag = 'verlosfichajesquehahabidoenunafechaenconcretopoderescogerfecha'</v>
      </c>
      <c r="O81" s="5" t="str">
        <f>CONCATENATE("UPDATE ",Database_ESP[[#This Row],[Table]]," SET ",Database_ESP[[#This Row],[Column]]," = '",Database_ESP[[#This Row],[ESP]],"' WHERE LanguageTag = '",Database_ESP[[#This Row],[Tag]],"'")</f>
        <v>UPDATE sysroqueries SET description = 'Ver los fichajes que ha habido en una fecha en concreto (poder escoger fecha)' WHERE LanguageTag = 'verlosfichajesquehahabidoenunafechaenconcretopoderescogerfecha'</v>
      </c>
      <c r="P81" s="5" t="str">
        <f>CONCATENATE("UPDATE ",Database_ESP[[#This Row],[Table]]," SET ",Database_ESP[[#This Row],[Column]]," = '",Database_ESP[[#This Row],[ENG]],"' WHERE LanguageTag = '",Database_ESP[[#This Row],[Tag]],"'")</f>
        <v>UPDATE sysroqueries SET description = 'View the signings that have taken place on a specific date (you can choose the date)' WHERE LanguageTag = 'verlosfichajesquehahabidoenunafechaenconcretopoderescogerfecha'</v>
      </c>
      <c r="Q81" s="5" t="str">
        <f>CONCATENATE("UPDATE ",Database_ESP[[#This Row],[Table]]," SET ",Database_ESP[[#This Row],[Column]]," = '",Database_ESP[[#This Row],[FR]],"' WHERE LanguageTag = '",Database_ESP[[#This Row],[Tag]],"'")</f>
        <v>UPDATE sysroqueries SET description = 'Voir les signatures qui ont eu lieu à une date précise (vous pouvez choisir la date)' WHERE LanguageTag = 'verlosfichajesquehahabidoenunafechaenconcretopoderescogerfecha'</v>
      </c>
      <c r="R81" s="5" t="str">
        <f>CONCATENATE("UPDATE ",Database_ESP[[#This Row],[Table]]," SET ",Database_ESP[[#This Row],[Column]]," = '",Database_ESP[[#This Row],[IT]],"' WHERE LanguageTag = '",Database_ESP[[#This Row],[Tag]],"'")</f>
        <v>UPDATE sysroqueries SET description = 'Vedere le firme che hanno avuto luogo in una data specifica (è possibile scegliere la data)' WHERE LanguageTag = 'verlosfichajesquehahabidoenunafechaenconcretopoderescogerfecha'</v>
      </c>
      <c r="S81" s="5" t="str">
        <f>CONCATENATE("UPDATE ",Database_ESP[[#This Row],[Table]]," SET ",Database_ESP[[#This Row],[Column]]," = '",Database_ESP[[#This Row],[SK]],"' WHERE LanguageTag = '",Database_ESP[[#This Row],[Tag]],"'")</f>
        <v>UPDATE sysroqueries SET description = 'Pozrite si podpisy, ktoré sa uskutočnili v určitý deň (dátum si môžete vybrať)' WHERE LanguageTag = 'verlosfichajesquehahabidoenunafechaenconcretopoderescogerfecha'</v>
      </c>
    </row>
    <row r="82" spans="1:19" ht="255" x14ac:dyDescent="0.25">
      <c r="A82" s="2" t="s">
        <v>846</v>
      </c>
      <c r="B82" s="2" t="str">
        <f t="shared" si="13"/>
        <v>RES_database_one.sysroqueries.verlosfichajesquehahabidoenunafechaenconcretopoderescogerfecha.name.rotext</v>
      </c>
      <c r="C82" s="2" t="str">
        <f t="shared" si="9"/>
        <v>sysroqueries</v>
      </c>
      <c r="D82" s="2" t="str">
        <f t="shared" si="10"/>
        <v>verlosfichajesquehahabidoenunafechaenconcretopoderescogerfecha</v>
      </c>
      <c r="E82" s="2" t="str">
        <f t="shared" si="11"/>
        <v>name</v>
      </c>
      <c r="F82" s="2" t="str">
        <f t="shared" si="12"/>
        <v>Ver los fichajes que ha habido en una fecha en concreto (poder escoger fecha)</v>
      </c>
      <c r="G82" s="1" t="s">
        <v>74</v>
      </c>
      <c r="H82" s="1" t="s">
        <v>200</v>
      </c>
      <c r="I82" s="1" t="s">
        <v>759</v>
      </c>
      <c r="J82" s="1" t="s">
        <v>572</v>
      </c>
      <c r="K82" s="1" t="s">
        <v>287</v>
      </c>
      <c r="L82" s="1" t="s">
        <v>363</v>
      </c>
      <c r="M82" s="1" t="s">
        <v>441</v>
      </c>
      <c r="N82" s="5" t="str">
        <f>CONCATENATE("UPDATE ",Database_ESP[[#This Row],[Table]]," SET ",Database_ESP[[#This Row],[Column]]," = '",Database_ESP[[#This Row],[POR.XAVI.INICIAL]],"' WHERE LanguageTag = '",Database_ESP[[#This Row],[Tag]],"'")</f>
        <v>UPDATE sysroqueries SET name = 'Este saldo mostra as férias pendentes a gozar.   Saldo inicial de férias - férias gozadas = férias a gozar' WHERE LanguageTag = 'verlosfichajesquehahabidoenunafechaenconcretopoderescogerfecha'</v>
      </c>
      <c r="O82" s="5" t="str">
        <f>CONCATENATE("UPDATE ",Database_ESP[[#This Row],[Table]]," SET ",Database_ESP[[#This Row],[Column]]," = '",Database_ESP[[#This Row],[ESP]],"' WHERE LanguageTag = '",Database_ESP[[#This Row],[Tag]],"'")</f>
        <v>UPDATE sysroqueries SET name = 'Ver los fichajes que ha habido en una fecha en concreto (poder escoger fecha)' WHERE LanguageTag = 'verlosfichajesquehahabidoenunafechaenconcretopoderescogerfecha'</v>
      </c>
      <c r="P82" s="5" t="str">
        <f>CONCATENATE("UPDATE ",Database_ESP[[#This Row],[Table]]," SET ",Database_ESP[[#This Row],[Column]]," = '",Database_ESP[[#This Row],[ENG]],"' WHERE LanguageTag = '",Database_ESP[[#This Row],[Tag]],"'")</f>
        <v>UPDATE sysroqueries SET name = 'View the signings that have taken place on a specific date (you can choose the date)' WHERE LanguageTag = 'verlosfichajesquehahabidoenunafechaenconcretopoderescogerfecha'</v>
      </c>
      <c r="Q82" s="5" t="str">
        <f>CONCATENATE("UPDATE ",Database_ESP[[#This Row],[Table]]," SET ",Database_ESP[[#This Row],[Column]]," = '",Database_ESP[[#This Row],[FR]],"' WHERE LanguageTag = '",Database_ESP[[#This Row],[Tag]],"'")</f>
        <v>UPDATE sysroqueries SET name = 'Voir les signatures qui ont eu lieu à une date précise (vous pouvez choisir la date)' WHERE LanguageTag = 'verlosfichajesquehahabidoenunafechaenconcretopoderescogerfecha'</v>
      </c>
      <c r="R82" s="5" t="str">
        <f>CONCATENATE("UPDATE ",Database_ESP[[#This Row],[Table]]," SET ",Database_ESP[[#This Row],[Column]]," = '",Database_ESP[[#This Row],[IT]],"' WHERE LanguageTag = '",Database_ESP[[#This Row],[Tag]],"'")</f>
        <v>UPDATE sysroqueries SET name = 'Vedere le firme che hanno avuto luogo in una data specifica (è possibile scegliere la data)' WHERE LanguageTag = 'verlosfichajesquehahabidoenunafechaenconcretopoderescogerfecha'</v>
      </c>
      <c r="S82" s="5" t="str">
        <f>CONCATENATE("UPDATE ",Database_ESP[[#This Row],[Table]]," SET ",Database_ESP[[#This Row],[Column]]," = '",Database_ESP[[#This Row],[SK]],"' WHERE LanguageTag = '",Database_ESP[[#This Row],[Tag]],"'")</f>
        <v>UPDATE sysroqueries SET name = 'Pozrite si podpisy, ktoré sa uskutočnili v určitý deň (dátum si môžete vybrať)' WHERE LanguageTag = 'verlosfichajesquehahabidoenunafechaenconcretopoderescogerfecha'</v>
      </c>
    </row>
    <row r="83" spans="1:19" ht="45" x14ac:dyDescent="0.25">
      <c r="A83" s="2" t="s">
        <v>847</v>
      </c>
      <c r="B83" s="2" t="str">
        <f t="shared" si="13"/>
        <v>RES_database_one.sysroqueries.visualizartareaspendientescolgadasdelosterminalestrasrealizarbroadcast.description.rotext</v>
      </c>
      <c r="C83" s="2" t="str">
        <f t="shared" si="9"/>
        <v>sysroqueries</v>
      </c>
      <c r="D83" s="2" t="str">
        <f t="shared" si="10"/>
        <v>visualizartareaspendientescolgadasdelosterminalestrasrealizarbroadcast</v>
      </c>
      <c r="E83" s="2" t="str">
        <f t="shared" si="11"/>
        <v>description</v>
      </c>
      <c r="F83" s="2" t="str">
        <f t="shared" si="12"/>
        <v>Visualizar tareas pendientes colgadas de los terminales tras realizar broadcast</v>
      </c>
      <c r="G83" s="1" t="s">
        <v>71</v>
      </c>
      <c r="H83" s="1" t="s">
        <v>201</v>
      </c>
      <c r="I83" s="1" t="s">
        <v>760</v>
      </c>
      <c r="J83" s="1" t="s">
        <v>573</v>
      </c>
      <c r="K83" s="1" t="s">
        <v>288</v>
      </c>
      <c r="L83" s="1" t="s">
        <v>364</v>
      </c>
      <c r="M83" s="1" t="s">
        <v>442</v>
      </c>
      <c r="N83" s="5" t="str">
        <f>CONCATENATE("UPDATE ",Database_ESP[[#This Row],[Table]]," SET ",Database_ESP[[#This Row],[Column]]," = '",Database_ESP[[#This Row],[POR.XAVI.INICIAL]],"' WHERE LanguageTag = '",Database_ESP[[#This Row],[Tag]],"'")</f>
        <v>UPDATE sysroqueries SET description = 'Férias pendentes' WHERE LanguageTag = 'visualizartareaspendientescolgadasdelosterminalestrasrealizarbroadcast'</v>
      </c>
      <c r="O83" s="5" t="str">
        <f>CONCATENATE("UPDATE ",Database_ESP[[#This Row],[Table]]," SET ",Database_ESP[[#This Row],[Column]]," = '",Database_ESP[[#This Row],[ESP]],"' WHERE LanguageTag = '",Database_ESP[[#This Row],[Tag]],"'")</f>
        <v>UPDATE sysroqueries SET description = 'Visualizar tareas pendientes colgadas de los terminales tras realizar broadcast' WHERE LanguageTag = 'visualizartareaspendientescolgadasdelosterminalestrasrealizarbroadcast'</v>
      </c>
      <c r="P83" s="5" t="str">
        <f>CONCATENATE("UPDATE ",Database_ESP[[#This Row],[Table]]," SET ",Database_ESP[[#This Row],[Column]]," = '",Database_ESP[[#This Row],[ENG]],"' WHERE LanguageTag = '",Database_ESP[[#This Row],[Tag]],"'")</f>
        <v>UPDATE sysroqueries SET description = 'View pending tasks hanging on terminals after broadcasting' WHERE LanguageTag = 'visualizartareaspendientescolgadasdelosterminalestrasrealizarbroadcast'</v>
      </c>
      <c r="Q83" s="5" t="str">
        <f>CONCATENATE("UPDATE ",Database_ESP[[#This Row],[Table]]," SET ",Database_ESP[[#This Row],[Column]]," = '",Database_ESP[[#This Row],[FR]],"' WHERE LanguageTag = '",Database_ESP[[#This Row],[Tag]],"'")</f>
        <v>UPDATE sysroqueries SET description = 'Affichage des tâches en suspens sur les terminaux après la diffusion' WHERE LanguageTag = 'visualizartareaspendientescolgadasdelosterminalestrasrealizarbroadcast'</v>
      </c>
      <c r="R83" s="5" t="str">
        <f>CONCATENATE("UPDATE ",Database_ESP[[#This Row],[Table]]," SET ",Database_ESP[[#This Row],[Column]]," = '",Database_ESP[[#This Row],[IT]],"' WHERE LanguageTag = '",Database_ESP[[#This Row],[Tag]],"'")</f>
        <v>UPDATE sysroqueries SET description = 'Visualizzazione dei compiti in sospeso appesi ai terminali dopo la trasmissione' WHERE LanguageTag = 'visualizartareaspendientescolgadasdelosterminalestrasrealizarbroadcast'</v>
      </c>
      <c r="S83" s="5" t="str">
        <f>CONCATENATE("UPDATE ",Database_ESP[[#This Row],[Table]]," SET ",Database_ESP[[#This Row],[Column]]," = '",Database_ESP[[#This Row],[SK]],"' WHERE LanguageTag = '",Database_ESP[[#This Row],[Tag]],"'")</f>
        <v>UPDATE sysroqueries SET description = 'Zobrazenie čakajúcich úloh zavesených na termináloch po vysielaní' WHERE LanguageTag = 'visualizartareaspendientescolgadasdelosterminalestrasrealizarbroadcast'</v>
      </c>
    </row>
    <row r="84" spans="1:19" ht="60" x14ac:dyDescent="0.25">
      <c r="A84" s="2" t="s">
        <v>848</v>
      </c>
      <c r="B84" s="2" t="str">
        <f t="shared" si="13"/>
        <v>RES_database_one.sysroqueries.visualizartareaspendientescolgadasdelosterminalestrasrealizarbroadcast.name.rotext</v>
      </c>
      <c r="C84" s="2" t="str">
        <f t="shared" si="9"/>
        <v>sysroqueries</v>
      </c>
      <c r="D84" s="2" t="str">
        <f t="shared" si="10"/>
        <v>visualizartareaspendientescolgadasdelosterminalestrasrealizarbroadcast</v>
      </c>
      <c r="E84" s="2" t="str">
        <f t="shared" si="11"/>
        <v>name</v>
      </c>
      <c r="F84" s="2" t="str">
        <f t="shared" si="12"/>
        <v>Visualizar tareas pendientes colgadas de los terminales tras realizar broadcast</v>
      </c>
      <c r="G84" s="1" t="s">
        <v>71</v>
      </c>
      <c r="H84" s="1" t="s">
        <v>16</v>
      </c>
      <c r="I84" s="1" t="s">
        <v>760</v>
      </c>
      <c r="J84" s="1" t="s">
        <v>573</v>
      </c>
      <c r="K84" s="1" t="s">
        <v>288</v>
      </c>
      <c r="L84" s="1" t="s">
        <v>364</v>
      </c>
      <c r="M84" s="1" t="s">
        <v>442</v>
      </c>
      <c r="N84" s="5" t="str">
        <f>CONCATENATE("UPDATE ",Database_ESP[[#This Row],[Table]]," SET ",Database_ESP[[#This Row],[Column]]," = '",Database_ESP[[#This Row],[POR.XAVI.INICIAL]],"' WHERE LanguageTag = '",Database_ESP[[#This Row],[Tag]],"'")</f>
        <v>UPDATE sysroqueries SET name = 'A minha empresa' WHERE LanguageTag = 'visualizartareaspendientescolgadasdelosterminalestrasrealizarbroadcast'</v>
      </c>
      <c r="O84" s="5" t="str">
        <f>CONCATENATE("UPDATE ",Database_ESP[[#This Row],[Table]]," SET ",Database_ESP[[#This Row],[Column]]," = '",Database_ESP[[#This Row],[ESP]],"' WHERE LanguageTag = '",Database_ESP[[#This Row],[Tag]],"'")</f>
        <v>UPDATE sysroqueries SET name = 'Visualizar tareas pendientes colgadas de los terminales tras realizar broadcast' WHERE LanguageTag = 'visualizartareaspendientescolgadasdelosterminalestrasrealizarbroadcast'</v>
      </c>
      <c r="P84" s="5" t="str">
        <f>CONCATENATE("UPDATE ",Database_ESP[[#This Row],[Table]]," SET ",Database_ESP[[#This Row],[Column]]," = '",Database_ESP[[#This Row],[ENG]],"' WHERE LanguageTag = '",Database_ESP[[#This Row],[Tag]],"'")</f>
        <v>UPDATE sysroqueries SET name = 'View pending tasks hanging on terminals after broadcasting' WHERE LanguageTag = 'visualizartareaspendientescolgadasdelosterminalestrasrealizarbroadcast'</v>
      </c>
      <c r="Q84" s="5" t="str">
        <f>CONCATENATE("UPDATE ",Database_ESP[[#This Row],[Table]]," SET ",Database_ESP[[#This Row],[Column]]," = '",Database_ESP[[#This Row],[FR]],"' WHERE LanguageTag = '",Database_ESP[[#This Row],[Tag]],"'")</f>
        <v>UPDATE sysroqueries SET name = 'Affichage des tâches en suspens sur les terminaux après la diffusion' WHERE LanguageTag = 'visualizartareaspendientescolgadasdelosterminalestrasrealizarbroadcast'</v>
      </c>
      <c r="R84" s="5" t="str">
        <f>CONCATENATE("UPDATE ",Database_ESP[[#This Row],[Table]]," SET ",Database_ESP[[#This Row],[Column]]," = '",Database_ESP[[#This Row],[IT]],"' WHERE LanguageTag = '",Database_ESP[[#This Row],[Tag]],"'")</f>
        <v>UPDATE sysroqueries SET name = 'Visualizzazione dei compiti in sospeso appesi ai terminali dopo la trasmissione' WHERE LanguageTag = 'visualizartareaspendientescolgadasdelosterminalestrasrealizarbroadcast'</v>
      </c>
      <c r="S84" s="5" t="str">
        <f>CONCATENATE("UPDATE ",Database_ESP[[#This Row],[Table]]," SET ",Database_ESP[[#This Row],[Column]]," = '",Database_ESP[[#This Row],[SK]],"' WHERE LanguageTag = '",Database_ESP[[#This Row],[Tag]],"'")</f>
        <v>UPDATE sysroqueries SET name = 'Zobrazenie čakajúcich úloh zavesených na termináloch po vysielaní' WHERE LanguageTag = 'visualizartareaspendientescolgadasdelosterminalestrasrealizarbroadcast'</v>
      </c>
    </row>
    <row r="85" spans="1:19" ht="30" x14ac:dyDescent="0.25">
      <c r="A85" s="2" t="s">
        <v>849</v>
      </c>
      <c r="B85" s="2" t="str">
        <f t="shared" si="13"/>
        <v>RES_database_one.sysroreportgroups.informedesaldos.name.rotext</v>
      </c>
      <c r="C85" s="2" t="str">
        <f t="shared" si="9"/>
        <v>sysroreportgroups</v>
      </c>
      <c r="D85" s="2" t="str">
        <f t="shared" si="10"/>
        <v>informedesaldos</v>
      </c>
      <c r="E85" s="2" t="str">
        <f t="shared" si="11"/>
        <v>name</v>
      </c>
      <c r="F85" s="2" t="str">
        <f t="shared" si="12"/>
        <v>Informe de saldos</v>
      </c>
      <c r="G85" s="1" t="s">
        <v>63</v>
      </c>
      <c r="H85" s="1" t="s">
        <v>29</v>
      </c>
      <c r="I85" s="1" t="s">
        <v>761</v>
      </c>
      <c r="J85" s="1" t="s">
        <v>574</v>
      </c>
      <c r="K85" s="1" t="s">
        <v>289</v>
      </c>
      <c r="L85" s="1" t="s">
        <v>365</v>
      </c>
      <c r="M85" s="1" t="s">
        <v>443</v>
      </c>
      <c r="N85" s="5" t="str">
        <f>CONCATENATE("UPDATE ",Database_ESP[[#This Row],[Table]]," SET ",Database_ESP[[#This Row],[Column]]," = '",Database_ESP[[#This Row],[POR.XAVI.INICIAL]],"' WHERE LanguageTag = '",Database_ESP[[#This Row],[Tag]],"'")</f>
        <v>UPDATE sysroreportgroups SET name = 'Regras gerais' WHERE LanguageTag = 'informedesaldos'</v>
      </c>
      <c r="O85" s="5" t="str">
        <f>CONCATENATE("UPDATE ",Database_ESP[[#This Row],[Table]]," SET ",Database_ESP[[#This Row],[Column]]," = '",Database_ESP[[#This Row],[ESP]],"' WHERE LanguageTag = '",Database_ESP[[#This Row],[Tag]],"'")</f>
        <v>UPDATE sysroreportgroups SET name = 'Informe de saldos' WHERE LanguageTag = 'informedesaldos'</v>
      </c>
      <c r="P85" s="5" t="str">
        <f>CONCATENATE("UPDATE ",Database_ESP[[#This Row],[Table]]," SET ",Database_ESP[[#This Row],[Column]]," = '",Database_ESP[[#This Row],[ENG]],"' WHERE LanguageTag = '",Database_ESP[[#This Row],[Tag]],"'")</f>
        <v>UPDATE sysroreportgroups SET name = 'Balance Report' WHERE LanguageTag = 'informedesaldos'</v>
      </c>
      <c r="Q85" s="5" t="str">
        <f>CONCATENATE("UPDATE ",Database_ESP[[#This Row],[Table]]," SET ",Database_ESP[[#This Row],[Column]]," = '",Database_ESP[[#This Row],[FR]],"' WHERE LanguageTag = '",Database_ESP[[#This Row],[Tag]],"'")</f>
        <v>UPDATE sysroreportgroups SET name = 'Rapport d'équilibre' WHERE LanguageTag = 'informedesaldos'</v>
      </c>
      <c r="R85" s="5" t="str">
        <f>CONCATENATE("UPDATE ",Database_ESP[[#This Row],[Table]]," SET ",Database_ESP[[#This Row],[Column]]," = '",Database_ESP[[#This Row],[IT]],"' WHERE LanguageTag = '",Database_ESP[[#This Row],[Tag]],"'")</f>
        <v>UPDATE sysroreportgroups SET name = 'Rapporto di bilancio' WHERE LanguageTag = 'informedesaldos'</v>
      </c>
      <c r="S85" s="5" t="str">
        <f>CONCATENATE("UPDATE ",Database_ESP[[#This Row],[Table]]," SET ",Database_ESP[[#This Row],[Column]]," = '",Database_ESP[[#This Row],[SK]],"' WHERE LanguageTag = '",Database_ESP[[#This Row],[Tag]],"'")</f>
        <v>UPDATE sysroreportgroups SET name = 'Bilančná správa' WHERE LanguageTag = 'informedesaldos'</v>
      </c>
    </row>
    <row r="86" spans="1:19" ht="90" x14ac:dyDescent="0.25">
      <c r="A86" s="2" t="s">
        <v>850</v>
      </c>
      <c r="B86" s="2" t="str">
        <f t="shared" si="13"/>
        <v>RES_database_one.sysroreportgroups.informedevacacionespendientes.name.rotext</v>
      </c>
      <c r="C86" s="2" t="str">
        <f t="shared" si="9"/>
        <v>sysroreportgroups</v>
      </c>
      <c r="D86" s="2" t="str">
        <f t="shared" si="10"/>
        <v>informedevacacionespendientes</v>
      </c>
      <c r="E86" s="2" t="str">
        <f t="shared" si="11"/>
        <v>name</v>
      </c>
      <c r="F86" s="2" t="str">
        <f t="shared" si="12"/>
        <v>Informe de vacaciones pendientes</v>
      </c>
      <c r="G86" s="1" t="s">
        <v>64</v>
      </c>
      <c r="H86" s="1" t="s">
        <v>202</v>
      </c>
      <c r="I86" s="1" t="s">
        <v>762</v>
      </c>
      <c r="J86" s="1" t="s">
        <v>575</v>
      </c>
      <c r="K86" s="1" t="s">
        <v>290</v>
      </c>
      <c r="L86" s="1" t="s">
        <v>366</v>
      </c>
      <c r="M86" s="1" t="s">
        <v>444</v>
      </c>
      <c r="N86" s="5" t="str">
        <f>CONCATENATE("UPDATE ",Database_ESP[[#This Row],[Table]]," SET ",Database_ESP[[#This Row],[Column]]," = '",Database_ESP[[#This Row],[POR.XAVI.INICIAL]],"' WHERE LanguageTag = '",Database_ESP[[#This Row],[Tag]],"'")</f>
        <v>UPDATE sysroreportgroups SET name = 'Férias gozadas no ano anterior' WHERE LanguageTag = 'informedevacacionespendientes'</v>
      </c>
      <c r="O86" s="5" t="str">
        <f>CONCATENATE("UPDATE ",Database_ESP[[#This Row],[Table]]," SET ",Database_ESP[[#This Row],[Column]]," = '",Database_ESP[[#This Row],[ESP]],"' WHERE LanguageTag = '",Database_ESP[[#This Row],[Tag]],"'")</f>
        <v>UPDATE sysroreportgroups SET name = 'Informe de vacaciones pendientes' WHERE LanguageTag = 'informedevacacionespendientes'</v>
      </c>
      <c r="P86" s="5" t="str">
        <f>CONCATENATE("UPDATE ",Database_ESP[[#This Row],[Table]]," SET ",Database_ESP[[#This Row],[Column]]," = '",Database_ESP[[#This Row],[ENG]],"' WHERE LanguageTag = '",Database_ESP[[#This Row],[Tag]],"'")</f>
        <v>UPDATE sysroreportgroups SET name = 'Report of pending vacations' WHERE LanguageTag = 'informedevacacionespendientes'</v>
      </c>
      <c r="Q86" s="5" t="str">
        <f>CONCATENATE("UPDATE ",Database_ESP[[#This Row],[Table]]," SET ",Database_ESP[[#This Row],[Column]]," = '",Database_ESP[[#This Row],[FR]],"' WHERE LanguageTag = '",Database_ESP[[#This Row],[Tag]],"'")</f>
        <v>UPDATE sysroreportgroups SET name = 'Un rapport de vacances exceptionnel' WHERE LanguageTag = 'informedevacacionespendientes'</v>
      </c>
      <c r="R86" s="5" t="str">
        <f>CONCATENATE("UPDATE ",Database_ESP[[#This Row],[Table]]," SET ",Database_ESP[[#This Row],[Column]]," = '",Database_ESP[[#This Row],[IT]],"' WHERE LanguageTag = '",Database_ESP[[#This Row],[Tag]],"'")</f>
        <v>UPDATE sysroreportgroups SET name = 'Eccezionale relazione sulle vacanze' WHERE LanguageTag = 'informedevacacionespendientes'</v>
      </c>
      <c r="S86" s="5" t="str">
        <f>CONCATENATE("UPDATE ",Database_ESP[[#This Row],[Table]]," SET ",Database_ESP[[#This Row],[Column]]," = '",Database_ESP[[#This Row],[SK]],"' WHERE LanguageTag = '",Database_ESP[[#This Row],[Tag]],"'")</f>
        <v>UPDATE sysroreportgroups SET name = 'Vynikajúca správa o dovolenke' WHERE LanguageTag = 'informedevacacionespendientes'</v>
      </c>
    </row>
    <row r="87" spans="1:19" ht="60" x14ac:dyDescent="0.25">
      <c r="A87" s="2" t="s">
        <v>692</v>
      </c>
      <c r="B87" s="2" t="str">
        <f t="shared" si="13"/>
        <v>RES_database_one.sysrouserfields.categoriaprofesional.category.rotext</v>
      </c>
      <c r="C87" s="2" t="str">
        <f t="shared" si="9"/>
        <v>sysrouserfields</v>
      </c>
      <c r="D87" s="2" t="str">
        <f t="shared" si="10"/>
        <v>categoriaprofesional</v>
      </c>
      <c r="E87" s="2" t="str">
        <f t="shared" si="11"/>
        <v>category</v>
      </c>
      <c r="F87" s="2" t="str">
        <f t="shared" si="12"/>
        <v>Laboral</v>
      </c>
      <c r="G87" s="1" t="s">
        <v>106</v>
      </c>
      <c r="H87" s="1" t="s">
        <v>203</v>
      </c>
      <c r="I87" s="1" t="s">
        <v>106</v>
      </c>
      <c r="J87" s="1" t="s">
        <v>576</v>
      </c>
      <c r="K87" s="1" t="s">
        <v>291</v>
      </c>
      <c r="L87" s="1" t="s">
        <v>367</v>
      </c>
      <c r="M87" s="1" t="s">
        <v>445</v>
      </c>
      <c r="N87" s="5" t="str">
        <f>CONCATENATE("UPDATE ",Database_ESP[[#This Row],[Table]]," SET ",Database_ESP[[#This Row],[Column]]," = '",Database_ESP[[#This Row],[POR.XAVI.INICIAL]],"' WHERE LanguageTag = '",Database_ESP[[#This Row],[Tag]],"'")</f>
        <v>UPDATE sysrouserfields SET category = 'Saldo negativo de férias' WHERE LanguageTag = 'categoriaprofesional'</v>
      </c>
      <c r="O87" s="5" t="str">
        <f>CONCATENATE("UPDATE ",Database_ESP[[#This Row],[Table]]," SET ",Database_ESP[[#This Row],[Column]]," = '",Database_ESP[[#This Row],[ESP]],"' WHERE LanguageTag = '",Database_ESP[[#This Row],[Tag]],"'")</f>
        <v>UPDATE sysrouserfields SET category = 'Laboral' WHERE LanguageTag = 'categoriaprofesional'</v>
      </c>
      <c r="P87" s="5" t="str">
        <f>CONCATENATE("UPDATE ",Database_ESP[[#This Row],[Table]]," SET ",Database_ESP[[#This Row],[Column]]," = '",Database_ESP[[#This Row],[ENG]],"' WHERE LanguageTag = '",Database_ESP[[#This Row],[Tag]],"'")</f>
        <v>UPDATE sysrouserfields SET category = 'Labor' WHERE LanguageTag = 'categoriaprofesional'</v>
      </c>
      <c r="Q87" s="5" t="str">
        <f>CONCATENATE("UPDATE ",Database_ESP[[#This Row],[Table]]," SET ",Database_ESP[[#This Row],[Column]]," = '",Database_ESP[[#This Row],[FR]],"' WHERE LanguageTag = '",Database_ESP[[#This Row],[Tag]],"'")</f>
        <v>UPDATE sysrouserfields SET category = 'Professionnel' WHERE LanguageTag = 'categoriaprofesional'</v>
      </c>
      <c r="R87" s="5" t="str">
        <f>CONCATENATE("UPDATE ",Database_ESP[[#This Row],[Table]]," SET ",Database_ESP[[#This Row],[Column]]," = '",Database_ESP[[#This Row],[IT]],"' WHERE LanguageTag = '",Database_ESP[[#This Row],[Tag]],"'")</f>
        <v>UPDATE sysrouserfields SET category = 'Lavorativo' WHERE LanguageTag = 'categoriaprofesional'</v>
      </c>
      <c r="S87" s="5" t="str">
        <f>CONCATENATE("UPDATE ",Database_ESP[[#This Row],[Table]]," SET ",Database_ESP[[#This Row],[Column]]," = '",Database_ESP[[#This Row],[SK]],"' WHERE LanguageTag = '",Database_ESP[[#This Row],[Tag]],"'")</f>
        <v>UPDATE sysrouserfields SET category = 'Práca' WHERE LanguageTag = 'categoriaprofesional'</v>
      </c>
    </row>
    <row r="88" spans="1:19" ht="409.5" x14ac:dyDescent="0.25">
      <c r="A88" s="2" t="s">
        <v>851</v>
      </c>
      <c r="B88" s="2" t="str">
        <f t="shared" si="13"/>
        <v>RES_database_one.sysrouserfields.categoriaprofesional.fieldname.rotext</v>
      </c>
      <c r="C88" s="2" t="str">
        <f t="shared" si="9"/>
        <v>sysrouserfields</v>
      </c>
      <c r="D88" s="2" t="str">
        <f t="shared" si="10"/>
        <v>categoriaprofesional</v>
      </c>
      <c r="E88" s="2" t="str">
        <f t="shared" si="11"/>
        <v>fieldname</v>
      </c>
      <c r="F88" s="2" t="str">
        <f t="shared" si="12"/>
        <v>Categoría profesional</v>
      </c>
      <c r="G88" s="1" t="s">
        <v>82</v>
      </c>
      <c r="H88" s="1" t="s">
        <v>164</v>
      </c>
      <c r="I88" s="1" t="s">
        <v>21</v>
      </c>
      <c r="J88" s="1" t="s">
        <v>225</v>
      </c>
      <c r="K88" s="1" t="s">
        <v>292</v>
      </c>
      <c r="L88" s="1" t="s">
        <v>368</v>
      </c>
      <c r="M88" s="1" t="s">
        <v>446</v>
      </c>
      <c r="N88" s="5" t="str">
        <f>CONCATENATE("UPDATE ",Database_ESP[[#This Row],[Table]]," SET ",Database_ESP[[#This Row],[Column]]," = '",Database_ESP[[#This Row],[POR.XAVI.INICIAL]],"' WHERE LanguageTag = '",Database_ESP[[#This Row],[Tag]],"'")</f>
        <v>UPDATE sysrouserfields SET fieldname = 'Lembre-se que pode adaptar este horário quando o planear, pois permite-lhe atribuir uma hora de início, o número de horas ordinárias e complementares.  Neste exemplo, apenas uma faixa horária.  ' WHERE LanguageTag = 'categoriaprofesional'</v>
      </c>
      <c r="O88" s="5" t="str">
        <f>CONCATENATE("UPDATE ",Database_ESP[[#This Row],[Table]]," SET ",Database_ESP[[#This Row],[Column]]," = '",Database_ESP[[#This Row],[ESP]],"' WHERE LanguageTag = '",Database_ESP[[#This Row],[Tag]],"'")</f>
        <v>UPDATE sysrouserfields SET fieldname = 'Categoría profesional' WHERE LanguageTag = 'categoriaprofesional'</v>
      </c>
      <c r="P88" s="5" t="str">
        <f>CONCATENATE("UPDATE ",Database_ESP[[#This Row],[Table]]," SET ",Database_ESP[[#This Row],[Column]]," = '",Database_ESP[[#This Row],[ENG]],"' WHERE LanguageTag = '",Database_ESP[[#This Row],[Tag]],"'")</f>
        <v>UPDATE sysrouserfields SET fieldname = 'Professional category' WHERE LanguageTag = 'categoriaprofesional'</v>
      </c>
      <c r="Q88" s="5" t="str">
        <f>CONCATENATE("UPDATE ",Database_ESP[[#This Row],[Table]]," SET ",Database_ESP[[#This Row],[Column]]," = '",Database_ESP[[#This Row],[FR]],"' WHERE LanguageTag = '",Database_ESP[[#This Row],[Tag]],"'")</f>
        <v>UPDATE sysrouserfields SET fieldname = 'Catégorie professionnelle' WHERE LanguageTag = 'categoriaprofesional'</v>
      </c>
      <c r="R88" s="5" t="str">
        <f>CONCATENATE("UPDATE ",Database_ESP[[#This Row],[Table]]," SET ",Database_ESP[[#This Row],[Column]]," = '",Database_ESP[[#This Row],[IT]],"' WHERE LanguageTag = '",Database_ESP[[#This Row],[Tag]],"'")</f>
        <v>UPDATE sysrouserfields SET fieldname = 'Categoria professionale' WHERE LanguageTag = 'categoriaprofesional'</v>
      </c>
      <c r="S88" s="5" t="str">
        <f>CONCATENATE("UPDATE ",Database_ESP[[#This Row],[Table]]," SET ",Database_ESP[[#This Row],[Column]]," = '",Database_ESP[[#This Row],[SK]],"' WHERE LanguageTag = '",Database_ESP[[#This Row],[Tag]],"'")</f>
        <v>UPDATE sysrouserfields SET fieldname = 'Profesionálna kategória' WHERE LanguageTag = 'categoriaprofesional'</v>
      </c>
    </row>
    <row r="89" spans="1:19" ht="90" x14ac:dyDescent="0.25">
      <c r="A89" s="2" t="s">
        <v>852</v>
      </c>
      <c r="B89" s="2" t="str">
        <f t="shared" si="13"/>
        <v>RES_database_one.sysrouserfields.categoriaprofesional.listvalues.rotext</v>
      </c>
      <c r="C89" s="2" t="str">
        <f t="shared" si="9"/>
        <v>sysrouserfields</v>
      </c>
      <c r="D89" s="2" t="str">
        <f t="shared" si="10"/>
        <v>categoriaprofesional</v>
      </c>
      <c r="E89" s="2" t="str">
        <f t="shared" si="11"/>
        <v>listvalues</v>
      </c>
      <c r="F89" s="2" t="str">
        <f t="shared" si="12"/>
        <v>Auxiliares Administrativos~Ayudantes no Titulados~Ingenieros Técnicos, Peritos y Ayudantes Titulados~Ingenieros y Licenciados~Jefes Administrativos y de Taller~Oficiales Administrativos~Oficiales de primera y segunda~Oficiales de tercera y Especialistas~Peones~Subalternos~Trabajadores menores de 18 años</v>
      </c>
      <c r="G89" s="1" t="s">
        <v>102</v>
      </c>
      <c r="H89" s="1" t="s">
        <v>204</v>
      </c>
      <c r="I89" s="1" t="s">
        <v>763</v>
      </c>
      <c r="J89" s="1" t="s">
        <v>577</v>
      </c>
      <c r="K89" s="1" t="s">
        <v>293</v>
      </c>
      <c r="L89" s="1" t="s">
        <v>369</v>
      </c>
      <c r="M89" s="1" t="s">
        <v>447</v>
      </c>
      <c r="N89" s="5" t="str">
        <f>CONCATENATE("UPDATE ",Database_ESP[[#This Row],[Table]]," SET ",Database_ESP[[#This Row],[Column]]," = '",Database_ESP[[#This Row],[POR.XAVI.INICIAL]],"' WHERE LanguageTag = '",Database_ESP[[#This Row],[Tag]],"'")</f>
        <v>UPDATE sysrouserfields SET listvalues = 'Faixa horária de 1 curinga' WHERE LanguageTag = 'categoriaprofesional'</v>
      </c>
      <c r="O89" s="5" t="str">
        <f>CONCATENATE("UPDATE ",Database_ESP[[#This Row],[Table]]," SET ",Database_ESP[[#This Row],[Column]]," = '",Database_ESP[[#This Row],[ESP]],"' WHERE LanguageTag = '",Database_ESP[[#This Row],[Tag]],"'")</f>
        <v>UPDATE sysrouserfields SET listvalues = 'Auxiliares Administrativos~Ayudantes no Titulados~Ingenieros Técnicos, Peritos y Ayudantes Titulados~Ingenieros y Licenciados~Jefes Administrativos y de Taller~Oficiales Administrativos~Oficiales de primera y segunda~Oficiales de tercera y Especialistas~Peones~Subalternos~Trabajadores menores de 18 años' WHERE LanguageTag = 'categoriaprofesional'</v>
      </c>
      <c r="P89" s="5" t="str">
        <f>CONCATENATE("UPDATE ",Database_ESP[[#This Row],[Table]]," SET ",Database_ESP[[#This Row],[Column]]," = '",Database_ESP[[#This Row],[ENG]],"' WHERE LanguageTag = '",Database_ESP[[#This Row],[Tag]],"'")</f>
        <v>UPDATE sysrouserfields SET listvalues = 'Administrative Assistants~Non-Qualified Assistants~Technical Engineers, Experts and Qualified Assistants~Engineers and Graduates~Administrative and Workshop Managers~Administrative Officers~First and Second Class Officers~Third Class Officers and Specialists~Laborers~Subordinates~Workers under 18 years of age' WHERE LanguageTag = 'categoriaprofesional'</v>
      </c>
      <c r="Q89" s="5" t="str">
        <f>CONCATENATE("UPDATE ",Database_ESP[[#This Row],[Table]]," SET ",Database_ESP[[#This Row],[Column]]," = '",Database_ESP[[#This Row],[FR]],"' WHERE LanguageTag = '",Database_ESP[[#This Row],[Tag]],"'")</f>
        <v>UPDATE sysrouserfields SET listvalues = 'Assistants administratifs~Assistants diplômés~Ingénieurs techniques, experts et assistants diplômés~Ingénieurs et diplômés~Chefs d'administration et d'atelier~Officiers administratifs~Officiers de première et de deuxième classe~Officiers de troisième classe et spécialistes~Peons~Subalternes~Travailleurs de moins de 18 ans' WHERE LanguageTag = 'categoriaprofesional'</v>
      </c>
      <c r="R89" s="5" t="str">
        <f>CONCATENATE("UPDATE ",Database_ESP[[#This Row],[Table]]," SET ",Database_ESP[[#This Row],[Column]]," = '",Database_ESP[[#This Row],[IT]],"' WHERE LanguageTag = '",Database_ESP[[#This Row],[Tag]],"'")</f>
        <v>UPDATE sysrouserfields SET listvalues = 'Assistenti amministrativi~Assistenti non laureati~Ingegneri tecnici, periti e assistenti laureati~Ingegneri e laureati~Responsabili amministrativi e di officina~Ufficiali amministrativi~Ufficiali di prima e seconda classe~Ufficiali di terza classe e specialisti~Peoni~Subalterni~Lavoratori di età inferiore ai 18 anni' WHERE LanguageTag = 'categoriaprofesional'</v>
      </c>
      <c r="S89" s="5" t="str">
        <f>CONCATENATE("UPDATE ",Database_ESP[[#This Row],[Table]]," SET ",Database_ESP[[#This Row],[Column]]," = '",Database_ESP[[#This Row],[SK]],"' WHERE LanguageTag = '",Database_ESP[[#This Row],[Tag]],"'")</f>
        <v>UPDATE sysrouserfields SET listvalues = 'Administratívni asistenti~asistenti s vysokoškolským vzdelaním~technickí inžinieri, experti a asistenti s vysokoškolským vzdelaním~inžinieri a absolventi~administratívni pracovníci a vedúci dielní~administratívni úradníci~úradníci prvej a druhej triedy~úradníci tretej triedy a špecialisti~pionieri~podpôradní pracovníci~pracovníci mladší ako 18 rokov' WHERE LanguageTag = 'categoriaprofesional'</v>
      </c>
    </row>
    <row r="90" spans="1:19" ht="409.5" x14ac:dyDescent="0.25">
      <c r="A90" s="2" t="s">
        <v>693</v>
      </c>
      <c r="B90" s="2" t="str">
        <f t="shared" si="13"/>
        <v>RES_database_one.sysrouserfields.codigopostal.fieldname.rotext</v>
      </c>
      <c r="C90" s="2" t="str">
        <f t="shared" si="9"/>
        <v>sysrouserfields</v>
      </c>
      <c r="D90" s="2" t="str">
        <f t="shared" si="10"/>
        <v>codigopostal</v>
      </c>
      <c r="E90" s="2" t="str">
        <f t="shared" si="11"/>
        <v>fieldname</v>
      </c>
      <c r="F90" s="2" t="str">
        <f t="shared" si="12"/>
        <v>Código Postal</v>
      </c>
      <c r="G90" s="1" t="s">
        <v>5</v>
      </c>
      <c r="H90" s="1" t="s">
        <v>133</v>
      </c>
      <c r="I90" s="1" t="s">
        <v>5</v>
      </c>
      <c r="J90" s="1" t="s">
        <v>578</v>
      </c>
      <c r="K90" s="1" t="s">
        <v>294</v>
      </c>
      <c r="L90" s="1" t="s">
        <v>370</v>
      </c>
      <c r="M90" s="1" t="s">
        <v>448</v>
      </c>
      <c r="N90" s="5" t="str">
        <f>CONCATENATE("UPDATE ",Database_ESP[[#This Row],[Table]]," SET ",Database_ESP[[#This Row],[Column]]," = '",Database_ESP[[#This Row],[POR.XAVI.INICIAL]],"' WHERE LanguageTag = '",Database_ESP[[#This Row],[Tag]],"'")</f>
        <v>UPDATE sysrouserfields SET fieldname = 'Lembre-se de que pode adaptar este horário quando o planear, pois permite-lhe atribuir uma hora de entrada, número de horas normais e complementares.  Neste exemplo, duas faixas horárias.  ' WHERE LanguageTag = 'codigopostal'</v>
      </c>
      <c r="O90" s="5" t="str">
        <f>CONCATENATE("UPDATE ",Database_ESP[[#This Row],[Table]]," SET ",Database_ESP[[#This Row],[Column]]," = '",Database_ESP[[#This Row],[ESP]],"' WHERE LanguageTag = '",Database_ESP[[#This Row],[Tag]],"'")</f>
        <v>UPDATE sysrouserfields SET fieldname = 'Código Postal' WHERE LanguageTag = 'codigopostal'</v>
      </c>
      <c r="P90" s="5" t="str">
        <f>CONCATENATE("UPDATE ",Database_ESP[[#This Row],[Table]]," SET ",Database_ESP[[#This Row],[Column]]," = '",Database_ESP[[#This Row],[ENG]],"' WHERE LanguageTag = '",Database_ESP[[#This Row],[Tag]],"'")</f>
        <v>UPDATE sysrouserfields SET fieldname = 'Zip code' WHERE LanguageTag = 'codigopostal'</v>
      </c>
      <c r="Q90" s="5" t="str">
        <f>CONCATENATE("UPDATE ",Database_ESP[[#This Row],[Table]]," SET ",Database_ESP[[#This Row],[Column]]," = '",Database_ESP[[#This Row],[FR]],"' WHERE LanguageTag = '",Database_ESP[[#This Row],[Tag]],"'")</f>
        <v>UPDATE sysrouserfields SET fieldname = 'Code postal' WHERE LanguageTag = 'codigopostal'</v>
      </c>
      <c r="R90" s="5" t="str">
        <f>CONCATENATE("UPDATE ",Database_ESP[[#This Row],[Table]]," SET ",Database_ESP[[#This Row],[Column]]," = '",Database_ESP[[#This Row],[IT]],"' WHERE LanguageTag = '",Database_ESP[[#This Row],[Tag]],"'")</f>
        <v>UPDATE sysrouserfields SET fieldname = 'Codice postale' WHERE LanguageTag = 'codigopostal'</v>
      </c>
      <c r="S90" s="5" t="str">
        <f>CONCATENATE("UPDATE ",Database_ESP[[#This Row],[Table]]," SET ",Database_ESP[[#This Row],[Column]]," = '",Database_ESP[[#This Row],[SK]],"' WHERE LanguageTag = '",Database_ESP[[#This Row],[Tag]],"'")</f>
        <v>UPDATE sysrouserfields SET fieldname = 'Poštové smerovacie číslo' WHERE LanguageTag = 'codigopostal'</v>
      </c>
    </row>
    <row r="91" spans="1:19" ht="75" x14ac:dyDescent="0.25">
      <c r="A91" s="2" t="s">
        <v>694</v>
      </c>
      <c r="B91" s="2" t="str">
        <f t="shared" si="13"/>
        <v>RES_database_one.sysrouserfields.complementossalarialesanuales.category.rotext</v>
      </c>
      <c r="C91" s="2" t="str">
        <f t="shared" si="9"/>
        <v>sysrouserfields</v>
      </c>
      <c r="D91" s="2" t="str">
        <f t="shared" si="10"/>
        <v>complementossalarialesanuales</v>
      </c>
      <c r="E91" s="2" t="str">
        <f t="shared" si="11"/>
        <v>category</v>
      </c>
      <c r="F91" s="2" t="str">
        <f t="shared" si="12"/>
        <v>Laboral</v>
      </c>
      <c r="G91" s="1" t="s">
        <v>106</v>
      </c>
      <c r="H91" s="1" t="s">
        <v>165</v>
      </c>
      <c r="I91" s="1" t="s">
        <v>106</v>
      </c>
      <c r="J91" s="1" t="s">
        <v>576</v>
      </c>
      <c r="K91" s="1" t="s">
        <v>291</v>
      </c>
      <c r="L91" s="1" t="s">
        <v>367</v>
      </c>
      <c r="M91" s="1" t="s">
        <v>445</v>
      </c>
      <c r="N91" s="5" t="str">
        <f>CONCATENATE("UPDATE ",Database_ESP[[#This Row],[Table]]," SET ",Database_ESP[[#This Row],[Column]]," = '",Database_ESP[[#This Row],[POR.XAVI.INICIAL]],"' WHERE LanguageTag = '",Database_ESP[[#This Row],[Tag]],"'")</f>
        <v>UPDATE sysrouserfields SET category = 'Faixas horárias curinga 2' WHERE LanguageTag = 'complementossalarialesanuales'</v>
      </c>
      <c r="O91" s="5" t="str">
        <f>CONCATENATE("UPDATE ",Database_ESP[[#This Row],[Table]]," SET ",Database_ESP[[#This Row],[Column]]," = '",Database_ESP[[#This Row],[ESP]],"' WHERE LanguageTag = '",Database_ESP[[#This Row],[Tag]],"'")</f>
        <v>UPDATE sysrouserfields SET category = 'Laboral' WHERE LanguageTag = 'complementossalarialesanuales'</v>
      </c>
      <c r="P91" s="5" t="str">
        <f>CONCATENATE("UPDATE ",Database_ESP[[#This Row],[Table]]," SET ",Database_ESP[[#This Row],[Column]]," = '",Database_ESP[[#This Row],[ENG]],"' WHERE LanguageTag = '",Database_ESP[[#This Row],[Tag]],"'")</f>
        <v>UPDATE sysrouserfields SET category = 'Labor' WHERE LanguageTag = 'complementossalarialesanuales'</v>
      </c>
      <c r="Q91" s="5" t="str">
        <f>CONCATENATE("UPDATE ",Database_ESP[[#This Row],[Table]]," SET ",Database_ESP[[#This Row],[Column]]," = '",Database_ESP[[#This Row],[FR]],"' WHERE LanguageTag = '",Database_ESP[[#This Row],[Tag]],"'")</f>
        <v>UPDATE sysrouserfields SET category = 'Professionnel' WHERE LanguageTag = 'complementossalarialesanuales'</v>
      </c>
      <c r="R91" s="5" t="str">
        <f>CONCATENATE("UPDATE ",Database_ESP[[#This Row],[Table]]," SET ",Database_ESP[[#This Row],[Column]]," = '",Database_ESP[[#This Row],[IT]],"' WHERE LanguageTag = '",Database_ESP[[#This Row],[Tag]],"'")</f>
        <v>UPDATE sysrouserfields SET category = 'Lavorativo' WHERE LanguageTag = 'complementossalarialesanuales'</v>
      </c>
      <c r="S91" s="5" t="str">
        <f>CONCATENATE("UPDATE ",Database_ESP[[#This Row],[Table]]," SET ",Database_ESP[[#This Row],[Column]]," = '",Database_ESP[[#This Row],[SK]],"' WHERE LanguageTag = '",Database_ESP[[#This Row],[Tag]],"'")</f>
        <v>UPDATE sysrouserfields SET category = 'Práca' WHERE LanguageTag = 'complementossalarialesanuales'</v>
      </c>
    </row>
    <row r="92" spans="1:19" ht="409.5" x14ac:dyDescent="0.25">
      <c r="A92" s="2" t="s">
        <v>853</v>
      </c>
      <c r="B92" s="2" t="str">
        <f t="shared" si="13"/>
        <v>RES_database_one.sysrouserfields.complementossalarialesanuales.fieldname.rotext</v>
      </c>
      <c r="C92" s="2" t="str">
        <f t="shared" si="9"/>
        <v>sysrouserfields</v>
      </c>
      <c r="D92" s="2" t="str">
        <f t="shared" si="10"/>
        <v>complementossalarialesanuales</v>
      </c>
      <c r="E92" s="2" t="str">
        <f t="shared" si="11"/>
        <v>fieldname</v>
      </c>
      <c r="F92" s="2" t="str">
        <f t="shared" si="12"/>
        <v>Complementos salariales anuales</v>
      </c>
      <c r="G92" s="1" t="s">
        <v>87</v>
      </c>
      <c r="H92" s="1" t="s">
        <v>166</v>
      </c>
      <c r="I92" s="1" t="s">
        <v>486</v>
      </c>
      <c r="J92" s="1" t="s">
        <v>226</v>
      </c>
      <c r="K92" s="1" t="s">
        <v>295</v>
      </c>
      <c r="L92" s="1" t="s">
        <v>371</v>
      </c>
      <c r="M92" s="1" t="s">
        <v>449</v>
      </c>
      <c r="N92" s="5" t="str">
        <f>CONCATENATE("UPDATE ",Database_ESP[[#This Row],[Table]]," SET ",Database_ESP[[#This Row],[Column]]," = '",Database_ESP[[#This Row],[POR.XAVI.INICIAL]],"' WHERE LanguageTag = '",Database_ESP[[#This Row],[Tag]],"'")</f>
        <v>UPDATE sysrouserfields SET fieldname = 'Este horário é apenas para os casos em que apenas se pretende registar o dia de trabalho (para cumprir os regulamentos) e não se vai realizar qualquer tipo de gestão de tempo.  ' WHERE LanguageTag = 'complementossalarialesanuales'</v>
      </c>
      <c r="O92" s="5" t="str">
        <f>CONCATENATE("UPDATE ",Database_ESP[[#This Row],[Table]]," SET ",Database_ESP[[#This Row],[Column]]," = '",Database_ESP[[#This Row],[ESP]],"' WHERE LanguageTag = '",Database_ESP[[#This Row],[Tag]],"'")</f>
        <v>UPDATE sysrouserfields SET fieldname = 'Complementos salariales anuales' WHERE LanguageTag = 'complementossalarialesanuales'</v>
      </c>
      <c r="P92" s="5" t="str">
        <f>CONCATENATE("UPDATE ",Database_ESP[[#This Row],[Table]]," SET ",Database_ESP[[#This Row],[Column]]," = '",Database_ESP[[#This Row],[ENG]],"' WHERE LanguageTag = '",Database_ESP[[#This Row],[Tag]],"'")</f>
        <v>UPDATE sysrouserfields SET fieldname = 'Annual salary supplements' WHERE LanguageTag = 'complementossalarialesanuales'</v>
      </c>
      <c r="Q92" s="5" t="str">
        <f>CONCATENATE("UPDATE ",Database_ESP[[#This Row],[Table]]," SET ",Database_ESP[[#This Row],[Column]]," = '",Database_ESP[[#This Row],[FR]],"' WHERE LanguageTag = '",Database_ESP[[#This Row],[Tag]],"'")</f>
        <v>UPDATE sysrouserfields SET fieldname = 'Primes annuelles' WHERE LanguageTag = 'complementossalarialesanuales'</v>
      </c>
      <c r="R92" s="5" t="str">
        <f>CONCATENATE("UPDATE ",Database_ESP[[#This Row],[Table]]," SET ",Database_ESP[[#This Row],[Column]]," = '",Database_ESP[[#This Row],[IT]],"' WHERE LanguageTag = '",Database_ESP[[#This Row],[Tag]],"'")</f>
        <v>UPDATE sysrouserfields SET fieldname = 'Complementi salariali annuali' WHERE LanguageTag = 'complementossalarialesanuales'</v>
      </c>
      <c r="S92" s="5" t="str">
        <f>CONCATENATE("UPDATE ",Database_ESP[[#This Row],[Table]]," SET ",Database_ESP[[#This Row],[Column]]," = '",Database_ESP[[#This Row],[SK]],"' WHERE LanguageTag = '",Database_ESP[[#This Row],[Tag]],"'")</f>
        <v>UPDATE sysrouserfields SET fieldname = 'Ročné príplatky k platu' WHERE LanguageTag = 'complementossalarialesanuales'</v>
      </c>
    </row>
    <row r="93" spans="1:19" ht="45" x14ac:dyDescent="0.25">
      <c r="A93" s="2" t="s">
        <v>503</v>
      </c>
      <c r="B93" s="2" t="str">
        <f t="shared" si="13"/>
        <v>RES_database_one.sysrouserfields.correoelectronico.category.rotext</v>
      </c>
      <c r="C93" s="2" t="str">
        <f t="shared" si="9"/>
        <v>sysrouserfields</v>
      </c>
      <c r="D93" s="2" t="str">
        <f t="shared" si="10"/>
        <v>correoelectronico</v>
      </c>
      <c r="E93" s="2" t="str">
        <f t="shared" si="11"/>
        <v>category</v>
      </c>
      <c r="F93" s="2" t="str">
        <f t="shared" si="12"/>
        <v>VisualTime</v>
      </c>
      <c r="G93" s="1" t="s">
        <v>40</v>
      </c>
      <c r="H93" s="1" t="s">
        <v>1</v>
      </c>
      <c r="I93" s="1" t="s">
        <v>227</v>
      </c>
      <c r="J93" s="1" t="s">
        <v>40</v>
      </c>
      <c r="K93" s="1" t="s">
        <v>227</v>
      </c>
      <c r="L93" s="1" t="s">
        <v>227</v>
      </c>
      <c r="M93" s="1" t="s">
        <v>227</v>
      </c>
      <c r="N93" s="5" t="str">
        <f>CONCATENATE("UPDATE ",Database_ESP[[#This Row],[Table]]," SET ",Database_ESP[[#This Row],[Column]]," = '",Database_ESP[[#This Row],[POR.XAVI.INICIAL]],"' WHERE LanguageTag = '",Database_ESP[[#This Row],[Tag]],"'")</f>
        <v>UPDATE sysrouserfields SET category = 'Contador de horas' WHERE LanguageTag = 'correoelectronico'</v>
      </c>
      <c r="O93" s="5" t="str">
        <f>CONCATENATE("UPDATE ",Database_ESP[[#This Row],[Table]]," SET ",Database_ESP[[#This Row],[Column]]," = '",Database_ESP[[#This Row],[ESP]],"' WHERE LanguageTag = '",Database_ESP[[#This Row],[Tag]],"'")</f>
        <v>UPDATE sysrouserfields SET category = 'VisualTime' WHERE LanguageTag = 'correoelectronico'</v>
      </c>
      <c r="P93" s="5" t="str">
        <f>CONCATENATE("UPDATE ",Database_ESP[[#This Row],[Table]]," SET ",Database_ESP[[#This Row],[Column]]," = '",Database_ESP[[#This Row],[ENG]],"' WHERE LanguageTag = '",Database_ESP[[#This Row],[Tag]],"'")</f>
        <v>UPDATE sysrouserfields SET category = 'VisualTime' WHERE LanguageTag = 'correoelectronico'</v>
      </c>
      <c r="Q93" s="5" t="str">
        <f>CONCATENATE("UPDATE ",Database_ESP[[#This Row],[Table]]," SET ",Database_ESP[[#This Row],[Column]]," = '",Database_ESP[[#This Row],[FR]],"' WHERE LanguageTag = '",Database_ESP[[#This Row],[Tag]],"'")</f>
        <v>UPDATE sysrouserfields SET category = 'Visualtime' WHERE LanguageTag = 'correoelectronico'</v>
      </c>
      <c r="R93" s="5" t="str">
        <f>CONCATENATE("UPDATE ",Database_ESP[[#This Row],[Table]]," SET ",Database_ESP[[#This Row],[Column]]," = '",Database_ESP[[#This Row],[IT]],"' WHERE LanguageTag = '",Database_ESP[[#This Row],[Tag]],"'")</f>
        <v>UPDATE sysrouserfields SET category = 'Visualtime' WHERE LanguageTag = 'correoelectronico'</v>
      </c>
      <c r="S93" s="5" t="str">
        <f>CONCATENATE("UPDATE ",Database_ESP[[#This Row],[Table]]," SET ",Database_ESP[[#This Row],[Column]]," = '",Database_ESP[[#This Row],[SK]],"' WHERE LanguageTag = '",Database_ESP[[#This Row],[Tag]],"'")</f>
        <v>UPDATE sysrouserfields SET category = 'Visualtime' WHERE LanguageTag = 'correoelectronico'</v>
      </c>
    </row>
    <row r="94" spans="1:19" ht="409.5" x14ac:dyDescent="0.25">
      <c r="A94" s="2" t="s">
        <v>854</v>
      </c>
      <c r="B94" s="2" t="str">
        <f t="shared" si="13"/>
        <v>RES_database_one.sysrouserfields.correoelectronico.fieldname.rotext</v>
      </c>
      <c r="C94" s="2" t="str">
        <f t="shared" si="9"/>
        <v>sysrouserfields</v>
      </c>
      <c r="D94" s="2" t="str">
        <f t="shared" si="10"/>
        <v>correoelectronico</v>
      </c>
      <c r="E94" s="2" t="str">
        <f t="shared" si="11"/>
        <v>fieldname</v>
      </c>
      <c r="F94" s="2" t="str">
        <f t="shared" si="12"/>
        <v>Correo electrónico</v>
      </c>
      <c r="G94" s="1" t="s">
        <v>96</v>
      </c>
      <c r="H94" s="1" t="s">
        <v>167</v>
      </c>
      <c r="I94" s="1" t="s">
        <v>228</v>
      </c>
      <c r="J94" s="1" t="s">
        <v>228</v>
      </c>
      <c r="K94" s="1" t="s">
        <v>296</v>
      </c>
      <c r="L94" s="1" t="s">
        <v>372</v>
      </c>
      <c r="M94" s="1" t="s">
        <v>450</v>
      </c>
      <c r="N94" s="5" t="str">
        <f>CONCATENATE("UPDATE ",Database_ESP[[#This Row],[Table]]," SET ",Database_ESP[[#This Row],[Column]]," = '",Database_ESP[[#This Row],[POR.XAVI.INICIAL]],"' WHERE LanguageTag = '",Database_ESP[[#This Row],[Tag]],"'")</f>
        <v>UPDATE sysrouserfields SET fieldname = 'Este horário tem 0 horas teóricas. Só está planeado para dias em que o funcionário tem um dia inteiro de folga e, por isso, não é necessário efetuar qualquer marcação de ponto.  ' WHERE LanguageTag = 'correoelectronico'</v>
      </c>
      <c r="O94" s="5" t="str">
        <f>CONCATENATE("UPDATE ",Database_ESP[[#This Row],[Table]]," SET ",Database_ESP[[#This Row],[Column]]," = '",Database_ESP[[#This Row],[ESP]],"' WHERE LanguageTag = '",Database_ESP[[#This Row],[Tag]],"'")</f>
        <v>UPDATE sysrouserfields SET fieldname = 'Correo electrónico' WHERE LanguageTag = 'correoelectronico'</v>
      </c>
      <c r="P94" s="5" t="str">
        <f>CONCATENATE("UPDATE ",Database_ESP[[#This Row],[Table]]," SET ",Database_ESP[[#This Row],[Column]]," = '",Database_ESP[[#This Row],[ENG]],"' WHERE LanguageTag = '",Database_ESP[[#This Row],[Tag]],"'")</f>
        <v>UPDATE sysrouserfields SET fieldname = 'Email' WHERE LanguageTag = 'correoelectronico'</v>
      </c>
      <c r="Q94" s="5" t="str">
        <f>CONCATENATE("UPDATE ",Database_ESP[[#This Row],[Table]]," SET ",Database_ESP[[#This Row],[Column]]," = '",Database_ESP[[#This Row],[FR]],"' WHERE LanguageTag = '",Database_ESP[[#This Row],[Tag]],"'")</f>
        <v>UPDATE sysrouserfields SET fieldname = 'Courrier électronique' WHERE LanguageTag = 'correoelectronico'</v>
      </c>
      <c r="R94" s="5" t="str">
        <f>CONCATENATE("UPDATE ",Database_ESP[[#This Row],[Table]]," SET ",Database_ESP[[#This Row],[Column]]," = '",Database_ESP[[#This Row],[IT]],"' WHERE LanguageTag = '",Database_ESP[[#This Row],[Tag]],"'")</f>
        <v>UPDATE sysrouserfields SET fieldname = 'E-mail' WHERE LanguageTag = 'correoelectronico'</v>
      </c>
      <c r="S94" s="5" t="str">
        <f>CONCATENATE("UPDATE ",Database_ESP[[#This Row],[Table]]," SET ",Database_ESP[[#This Row],[Column]]," = '",Database_ESP[[#This Row],[SK]],"' WHERE LanguageTag = '",Database_ESP[[#This Row],[Tag]],"'")</f>
        <v>UPDATE sysrouserfields SET fieldname = 'E-mailová adresa' WHERE LanguageTag = 'correoelectronico'</v>
      </c>
    </row>
    <row r="95" spans="1:19" ht="30" x14ac:dyDescent="0.25">
      <c r="A95" s="2" t="s">
        <v>504</v>
      </c>
      <c r="B95" s="2" t="str">
        <f t="shared" si="13"/>
        <v>RES_database_one.sysrouserfields.costehr.category.rotext</v>
      </c>
      <c r="C95" s="2" t="str">
        <f t="shared" si="9"/>
        <v>sysrouserfields</v>
      </c>
      <c r="D95" s="2" t="str">
        <f t="shared" si="10"/>
        <v>costehr</v>
      </c>
      <c r="E95" s="2" t="str">
        <f t="shared" si="11"/>
        <v>category</v>
      </c>
      <c r="F95" s="2" t="str">
        <f t="shared" si="12"/>
        <v>VisualTime</v>
      </c>
      <c r="G95" s="1" t="s">
        <v>40</v>
      </c>
      <c r="H95" s="1" t="s">
        <v>168</v>
      </c>
      <c r="I95" s="1" t="s">
        <v>227</v>
      </c>
      <c r="J95" s="1" t="s">
        <v>40</v>
      </c>
      <c r="K95" s="1" t="s">
        <v>227</v>
      </c>
      <c r="L95" s="1" t="s">
        <v>227</v>
      </c>
      <c r="M95" s="1" t="s">
        <v>227</v>
      </c>
      <c r="N95" s="5" t="str">
        <f>CONCATENATE("UPDATE ",Database_ESP[[#This Row],[Table]]," SET ",Database_ESP[[#This Row],[Column]]," = '",Database_ESP[[#This Row],[POR.XAVI.INICIAL]],"' WHERE LanguageTag = '",Database_ESP[[#This Row],[Tag]],"'")</f>
        <v>UPDATE sysrouserfields SET category = 'Intervalo' WHERE LanguageTag = 'costehr'</v>
      </c>
      <c r="O95" s="5" t="str">
        <f>CONCATENATE("UPDATE ",Database_ESP[[#This Row],[Table]]," SET ",Database_ESP[[#This Row],[Column]]," = '",Database_ESP[[#This Row],[ESP]],"' WHERE LanguageTag = '",Database_ESP[[#This Row],[Tag]],"'")</f>
        <v>UPDATE sysrouserfields SET category = 'VisualTime' WHERE LanguageTag = 'costehr'</v>
      </c>
      <c r="P95" s="5" t="str">
        <f>CONCATENATE("UPDATE ",Database_ESP[[#This Row],[Table]]," SET ",Database_ESP[[#This Row],[Column]]," = '",Database_ESP[[#This Row],[ENG]],"' WHERE LanguageTag = '",Database_ESP[[#This Row],[Tag]],"'")</f>
        <v>UPDATE sysrouserfields SET category = 'VisualTime' WHERE LanguageTag = 'costehr'</v>
      </c>
      <c r="Q95" s="5" t="str">
        <f>CONCATENATE("UPDATE ",Database_ESP[[#This Row],[Table]]," SET ",Database_ESP[[#This Row],[Column]]," = '",Database_ESP[[#This Row],[FR]],"' WHERE LanguageTag = '",Database_ESP[[#This Row],[Tag]],"'")</f>
        <v>UPDATE sysrouserfields SET category = 'Visualtime' WHERE LanguageTag = 'costehr'</v>
      </c>
      <c r="R95" s="5" t="str">
        <f>CONCATENATE("UPDATE ",Database_ESP[[#This Row],[Table]]," SET ",Database_ESP[[#This Row],[Column]]," = '",Database_ESP[[#This Row],[IT]],"' WHERE LanguageTag = '",Database_ESP[[#This Row],[Tag]],"'")</f>
        <v>UPDATE sysrouserfields SET category = 'Visualtime' WHERE LanguageTag = 'costehr'</v>
      </c>
      <c r="S95" s="5" t="str">
        <f>CONCATENATE("UPDATE ",Database_ESP[[#This Row],[Table]]," SET ",Database_ESP[[#This Row],[Column]]," = '",Database_ESP[[#This Row],[SK]],"' WHERE LanguageTag = '",Database_ESP[[#This Row],[Tag]],"'")</f>
        <v>UPDATE sysrouserfields SET category = 'Visualtime' WHERE LanguageTag = 'costehr'</v>
      </c>
    </row>
    <row r="96" spans="1:19" ht="360" x14ac:dyDescent="0.25">
      <c r="A96" s="2" t="s">
        <v>855</v>
      </c>
      <c r="B96" s="2" t="str">
        <f t="shared" si="13"/>
        <v>RES_database_one.sysrouserfields.costehr.fieldname.rotext</v>
      </c>
      <c r="C96" s="2" t="str">
        <f t="shared" si="9"/>
        <v>sysrouserfields</v>
      </c>
      <c r="D96" s="2" t="str">
        <f t="shared" si="10"/>
        <v>costehr</v>
      </c>
      <c r="E96" s="2" t="str">
        <f t="shared" si="11"/>
        <v>fieldname</v>
      </c>
      <c r="F96" s="2" t="str">
        <f t="shared" si="12"/>
        <v>Coste HR</v>
      </c>
      <c r="G96" s="1" t="s">
        <v>94</v>
      </c>
      <c r="H96" s="1" t="s">
        <v>169</v>
      </c>
      <c r="I96" s="1" t="s">
        <v>487</v>
      </c>
      <c r="J96" s="1" t="s">
        <v>579</v>
      </c>
      <c r="K96" s="1" t="s">
        <v>297</v>
      </c>
      <c r="L96" s="1" t="s">
        <v>373</v>
      </c>
      <c r="M96" s="1" t="s">
        <v>451</v>
      </c>
      <c r="N96" s="5" t="str">
        <f>CONCATENATE("UPDATE ",Database_ESP[[#This Row],[Table]]," SET ",Database_ESP[[#This Row],[Column]]," = '",Database_ESP[[#This Row],[POR.XAVI.INICIAL]],"' WHERE LanguageTag = '",Database_ESP[[#This Row],[Tag]],"'")</f>
        <v>UPDATE sysrouserfields SET fieldname = 'Este horário tem 0 horas planeadas. Só deve ser programado para os dias em que o trabalhador tem um feriado e, por isso, não vai marcar o ponto. ' WHERE LanguageTag = 'costehr'</v>
      </c>
      <c r="O96" s="5" t="str">
        <f>CONCATENATE("UPDATE ",Database_ESP[[#This Row],[Table]]," SET ",Database_ESP[[#This Row],[Column]]," = '",Database_ESP[[#This Row],[ESP]],"' WHERE LanguageTag = '",Database_ESP[[#This Row],[Tag]],"'")</f>
        <v>UPDATE sysrouserfields SET fieldname = 'Coste HR' WHERE LanguageTag = 'costehr'</v>
      </c>
      <c r="P96" s="5" t="str">
        <f>CONCATENATE("UPDATE ",Database_ESP[[#This Row],[Table]]," SET ",Database_ESP[[#This Row],[Column]]," = '",Database_ESP[[#This Row],[ENG]],"' WHERE LanguageTag = '",Database_ESP[[#This Row],[Tag]],"'")</f>
        <v>UPDATE sysrouserfields SET fieldname = 'HR cost' WHERE LanguageTag = 'costehr'</v>
      </c>
      <c r="Q96" s="5" t="str">
        <f>CONCATENATE("UPDATE ",Database_ESP[[#This Row],[Table]]," SET ",Database_ESP[[#This Row],[Column]]," = '",Database_ESP[[#This Row],[FR]],"' WHERE LanguageTag = '",Database_ESP[[#This Row],[Tag]],"'")</f>
        <v>UPDATE sysrouserfields SET fieldname = 'Coût RH' WHERE LanguageTag = 'costehr'</v>
      </c>
      <c r="R96" s="5" t="str">
        <f>CONCATENATE("UPDATE ",Database_ESP[[#This Row],[Table]]," SET ",Database_ESP[[#This Row],[Column]]," = '",Database_ESP[[#This Row],[IT]],"' WHERE LanguageTag = '",Database_ESP[[#This Row],[Tag]],"'")</f>
        <v>UPDATE sysrouserfields SET fieldname = 'Costo delle risorse umane' WHERE LanguageTag = 'costehr'</v>
      </c>
      <c r="S96" s="5" t="str">
        <f>CONCATENATE("UPDATE ",Database_ESP[[#This Row],[Table]]," SET ",Database_ESP[[#This Row],[Column]]," = '",Database_ESP[[#This Row],[SK]],"' WHERE LanguageTag = '",Database_ESP[[#This Row],[Tag]],"'")</f>
        <v>UPDATE sysrouserfields SET fieldname = 'Náklady na ľudské zdroje' WHERE LanguageTag = 'costehr'</v>
      </c>
    </row>
    <row r="97" spans="1:19" ht="30" x14ac:dyDescent="0.25">
      <c r="A97" s="2" t="s">
        <v>505</v>
      </c>
      <c r="B97" s="2" t="str">
        <f t="shared" si="13"/>
        <v>RES_database_one.sysrouserfields.costeporhora.category.rotext</v>
      </c>
      <c r="C97" s="2" t="str">
        <f t="shared" si="9"/>
        <v>sysrouserfields</v>
      </c>
      <c r="D97" s="2" t="str">
        <f t="shared" si="10"/>
        <v>costeporhora</v>
      </c>
      <c r="E97" s="2" t="str">
        <f t="shared" si="11"/>
        <v>category</v>
      </c>
      <c r="F97" s="2" t="str">
        <f t="shared" si="12"/>
        <v>VisualTime</v>
      </c>
      <c r="G97" s="1" t="s">
        <v>40</v>
      </c>
      <c r="H97" s="1" t="s">
        <v>128</v>
      </c>
      <c r="I97" s="1" t="s">
        <v>227</v>
      </c>
      <c r="J97" s="1" t="s">
        <v>40</v>
      </c>
      <c r="K97" s="1" t="s">
        <v>227</v>
      </c>
      <c r="L97" s="1" t="s">
        <v>227</v>
      </c>
      <c r="M97" s="1" t="s">
        <v>227</v>
      </c>
      <c r="N97" s="5" t="str">
        <f>CONCATENATE("UPDATE ",Database_ESP[[#This Row],[Table]]," SET ",Database_ESP[[#This Row],[Column]]," = '",Database_ESP[[#This Row],[POR.XAVI.INICIAL]],"' WHERE LanguageTag = '",Database_ESP[[#This Row],[Tag]],"'")</f>
        <v>UPDATE sysrouserfields SET category = 'Férias' WHERE LanguageTag = 'costeporhora'</v>
      </c>
      <c r="O97" s="5" t="str">
        <f>CONCATENATE("UPDATE ",Database_ESP[[#This Row],[Table]]," SET ",Database_ESP[[#This Row],[Column]]," = '",Database_ESP[[#This Row],[ESP]],"' WHERE LanguageTag = '",Database_ESP[[#This Row],[Tag]],"'")</f>
        <v>UPDATE sysrouserfields SET category = 'VisualTime' WHERE LanguageTag = 'costeporhora'</v>
      </c>
      <c r="P97" s="5" t="str">
        <f>CONCATENATE("UPDATE ",Database_ESP[[#This Row],[Table]]," SET ",Database_ESP[[#This Row],[Column]]," = '",Database_ESP[[#This Row],[ENG]],"' WHERE LanguageTag = '",Database_ESP[[#This Row],[Tag]],"'")</f>
        <v>UPDATE sysrouserfields SET category = 'VisualTime' WHERE LanguageTag = 'costeporhora'</v>
      </c>
      <c r="Q97" s="5" t="str">
        <f>CONCATENATE("UPDATE ",Database_ESP[[#This Row],[Table]]," SET ",Database_ESP[[#This Row],[Column]]," = '",Database_ESP[[#This Row],[FR]],"' WHERE LanguageTag = '",Database_ESP[[#This Row],[Tag]],"'")</f>
        <v>UPDATE sysrouserfields SET category = 'Visualtime' WHERE LanguageTag = 'costeporhora'</v>
      </c>
      <c r="R97" s="5" t="str">
        <f>CONCATENATE("UPDATE ",Database_ESP[[#This Row],[Table]]," SET ",Database_ESP[[#This Row],[Column]]," = '",Database_ESP[[#This Row],[IT]],"' WHERE LanguageTag = '",Database_ESP[[#This Row],[Tag]],"'")</f>
        <v>UPDATE sysrouserfields SET category = 'Visualtime' WHERE LanguageTag = 'costeporhora'</v>
      </c>
      <c r="S97" s="5" t="str">
        <f>CONCATENATE("UPDATE ",Database_ESP[[#This Row],[Table]]," SET ",Database_ESP[[#This Row],[Column]]," = '",Database_ESP[[#This Row],[SK]],"' WHERE LanguageTag = '",Database_ESP[[#This Row],[Tag]],"'")</f>
        <v>UPDATE sysrouserfields SET category = 'Visualtime' WHERE LanguageTag = 'costeporhora'</v>
      </c>
    </row>
    <row r="98" spans="1:19" ht="409.5" x14ac:dyDescent="0.25">
      <c r="A98" s="2" t="s">
        <v>856</v>
      </c>
      <c r="B98" s="2" t="str">
        <f t="shared" si="13"/>
        <v>RES_database_one.sysrouserfields.costeporhora.fieldname.rotext</v>
      </c>
      <c r="C98" s="2" t="str">
        <f t="shared" ref="C98:C119" si="14">MID(B98, FIND(".", B98) + 1, FIND(".", B98, FIND(".", B98) + 1) - FIND(".", B98) - 1)</f>
        <v>sysrouserfields</v>
      </c>
      <c r="D98" s="2" t="str">
        <f t="shared" ref="D98:D119" si="15">MID(B98, FIND(".", B98, FIND(".", B98) + 1) + 1, FIND(".", B98, FIND(".", B98, FIND(".", B98) + 1) + 1) - FIND(".", B98, FIND(".", B98) + 1) - 1)</f>
        <v>costeporhora</v>
      </c>
      <c r="E98" s="2" t="str">
        <f t="shared" ref="E98:E119" si="16">MID(B98, FIND(".", B98, FIND(".", B98, FIND(".", B98) + 1) + 1) + 1, FIND(".", B98, FIND(".", B98, FIND(".", B98, FIND(".", B98) + 1) + 1) + 1) - FIND(".", B98, FIND(".", B98, FIND(".", B98) + 1) + 1) - 1)</f>
        <v>fieldname</v>
      </c>
      <c r="F98" s="2" t="str">
        <f t="shared" ref="F98:F129" si="17">RIGHT(A98,LEN(A98) - SEARCH("=", A98))</f>
        <v>Coste por hora</v>
      </c>
      <c r="G98" s="1" t="s">
        <v>99</v>
      </c>
      <c r="H98" s="1" t="s">
        <v>205</v>
      </c>
      <c r="I98" s="1" t="s">
        <v>28</v>
      </c>
      <c r="J98" s="1" t="s">
        <v>229</v>
      </c>
      <c r="K98" s="1" t="s">
        <v>298</v>
      </c>
      <c r="L98" s="1" t="s">
        <v>374</v>
      </c>
      <c r="M98" s="1" t="s">
        <v>452</v>
      </c>
      <c r="N98" s="5" t="str">
        <f>CONCATENATE("UPDATE ",Database_ESP[[#This Row],[Table]]," SET ",Database_ESP[[#This Row],[Column]]," = '",Database_ESP[[#This Row],[POR.XAVI.INICIAL]],"' WHERE LanguageTag = '",Database_ESP[[#This Row],[Tag]],"'")</f>
        <v>UPDATE sysrouserfields SET fieldname = 'Este é um horário totalmente flexível. O trabalhador pode entrar e sair livremente entre as 6:00h e as 23:00h e só será monitorizado se trabalhar mais ou menos do que as 8 horas previstas.  ' WHERE LanguageTag = 'costeporhora'</v>
      </c>
      <c r="O98" s="5" t="str">
        <f>CONCATENATE("UPDATE ",Database_ESP[[#This Row],[Table]]," SET ",Database_ESP[[#This Row],[Column]]," = '",Database_ESP[[#This Row],[ESP]],"' WHERE LanguageTag = '",Database_ESP[[#This Row],[Tag]],"'")</f>
        <v>UPDATE sysrouserfields SET fieldname = 'Coste por hora' WHERE LanguageTag = 'costeporhora'</v>
      </c>
      <c r="P98" s="5" t="str">
        <f>CONCATENATE("UPDATE ",Database_ESP[[#This Row],[Table]]," SET ",Database_ESP[[#This Row],[Column]]," = '",Database_ESP[[#This Row],[ENG]],"' WHERE LanguageTag = '",Database_ESP[[#This Row],[Tag]],"'")</f>
        <v>UPDATE sysrouserfields SET fieldname = 'Cost per hour' WHERE LanguageTag = 'costeporhora'</v>
      </c>
      <c r="Q98" s="5" t="str">
        <f>CONCATENATE("UPDATE ",Database_ESP[[#This Row],[Table]]," SET ",Database_ESP[[#This Row],[Column]]," = '",Database_ESP[[#This Row],[FR]],"' WHERE LanguageTag = '",Database_ESP[[#This Row],[Tag]],"'")</f>
        <v>UPDATE sysrouserfields SET fieldname = 'Coût par heure' WHERE LanguageTag = 'costeporhora'</v>
      </c>
      <c r="R98" s="5" t="str">
        <f>CONCATENATE("UPDATE ",Database_ESP[[#This Row],[Table]]," SET ",Database_ESP[[#This Row],[Column]]," = '",Database_ESP[[#This Row],[IT]],"' WHERE LanguageTag = '",Database_ESP[[#This Row],[Tag]],"'")</f>
        <v>UPDATE sysrouserfields SET fieldname = 'Costo all´ora' WHERE LanguageTag = 'costeporhora'</v>
      </c>
      <c r="S98" s="5" t="str">
        <f>CONCATENATE("UPDATE ",Database_ESP[[#This Row],[Table]]," SET ",Database_ESP[[#This Row],[Column]]," = '",Database_ESP[[#This Row],[SK]],"' WHERE LanguageTag = '",Database_ESP[[#This Row],[Tag]],"'")</f>
        <v>UPDATE sysrouserfields SET fieldname = 'Náklady na hodinu' WHERE LanguageTag = 'costeporhora'</v>
      </c>
    </row>
    <row r="99" spans="1:19" ht="45" x14ac:dyDescent="0.25">
      <c r="A99" s="2" t="s">
        <v>857</v>
      </c>
      <c r="B99" s="2" t="str">
        <f t="shared" si="13"/>
        <v>RES_database_one.sysrouserfields.fechadenacimiento.category.rotext</v>
      </c>
      <c r="C99" s="2" t="str">
        <f t="shared" si="14"/>
        <v>sysrouserfields</v>
      </c>
      <c r="D99" s="2" t="str">
        <f t="shared" si="15"/>
        <v>fechadenacimiento</v>
      </c>
      <c r="E99" s="2" t="str">
        <f t="shared" si="16"/>
        <v>category</v>
      </c>
      <c r="F99" s="2" t="str">
        <f t="shared" si="17"/>
        <v>Personal</v>
      </c>
      <c r="G99" s="1" t="s">
        <v>105</v>
      </c>
      <c r="H99" s="1" t="s">
        <v>206</v>
      </c>
      <c r="I99" s="1" t="s">
        <v>38</v>
      </c>
      <c r="J99" s="1" t="s">
        <v>580</v>
      </c>
      <c r="K99" s="1" t="s">
        <v>230</v>
      </c>
      <c r="L99" s="1" t="s">
        <v>375</v>
      </c>
      <c r="M99" s="1" t="s">
        <v>453</v>
      </c>
      <c r="N99" s="5" t="str">
        <f>CONCATENATE("UPDATE ",Database_ESP[[#This Row],[Table]]," SET ",Database_ESP[[#This Row],[Column]]," = '",Database_ESP[[#This Row],[POR.XAVI.INICIAL]],"' WHERE LanguageTag = '",Database_ESP[[#This Row],[Tag]],"'")</f>
        <v>UPDATE sysrouserfields SET category = '8 horas flexíveis' WHERE LanguageTag = 'fechadenacimiento'</v>
      </c>
      <c r="O99" s="5" t="str">
        <f>CONCATENATE("UPDATE ",Database_ESP[[#This Row],[Table]]," SET ",Database_ESP[[#This Row],[Column]]," = '",Database_ESP[[#This Row],[ESP]],"' WHERE LanguageTag = '",Database_ESP[[#This Row],[Tag]],"'")</f>
        <v>UPDATE sysrouserfields SET category = 'Personal' WHERE LanguageTag = 'fechadenacimiento'</v>
      </c>
      <c r="P99" s="5" t="str">
        <f>CONCATENATE("UPDATE ",Database_ESP[[#This Row],[Table]]," SET ",Database_ESP[[#This Row],[Column]]," = '",Database_ESP[[#This Row],[ENG]],"' WHERE LanguageTag = '",Database_ESP[[#This Row],[Tag]],"'")</f>
        <v>UPDATE sysrouserfields SET category = 'Staff' WHERE LanguageTag = 'fechadenacimiento'</v>
      </c>
      <c r="Q99" s="5" t="str">
        <f>CONCATENATE("UPDATE ",Database_ESP[[#This Row],[Table]]," SET ",Database_ESP[[#This Row],[Column]]," = '",Database_ESP[[#This Row],[FR]],"' WHERE LanguageTag = '",Database_ESP[[#This Row],[Tag]],"'")</f>
        <v>UPDATE sysrouserfields SET category = 'Personnel' WHERE LanguageTag = 'fechadenacimiento'</v>
      </c>
      <c r="R99" s="5" t="str">
        <f>CONCATENATE("UPDATE ",Database_ESP[[#This Row],[Table]]," SET ",Database_ESP[[#This Row],[Column]]," = '",Database_ESP[[#This Row],[IT]],"' WHERE LanguageTag = '",Database_ESP[[#This Row],[Tag]],"'")</f>
        <v>UPDATE sysrouserfields SET category = 'Personale' WHERE LanguageTag = 'fechadenacimiento'</v>
      </c>
      <c r="S99" s="5" t="str">
        <f>CONCATENATE("UPDATE ",Database_ESP[[#This Row],[Table]]," SET ",Database_ESP[[#This Row],[Column]]," = '",Database_ESP[[#This Row],[SK]],"' WHERE LanguageTag = '",Database_ESP[[#This Row],[Tag]],"'")</f>
        <v>UPDATE sysrouserfields SET category = 'Zamestnanci' WHERE LanguageTag = 'fechadenacimiento'</v>
      </c>
    </row>
    <row r="100" spans="1:19" ht="409.5" x14ac:dyDescent="0.25">
      <c r="A100" s="2" t="s">
        <v>858</v>
      </c>
      <c r="B100" s="2" t="str">
        <f t="shared" si="13"/>
        <v>RES_database_one.sysrouserfields.fechadenacimiento.fieldname.rotext</v>
      </c>
      <c r="C100" s="2" t="str">
        <f t="shared" si="14"/>
        <v>sysrouserfields</v>
      </c>
      <c r="D100" s="2" t="str">
        <f t="shared" si="15"/>
        <v>fechadenacimiento</v>
      </c>
      <c r="E100" s="2" t="str">
        <f t="shared" si="16"/>
        <v>fieldname</v>
      </c>
      <c r="F100" s="2" t="str">
        <f t="shared" si="17"/>
        <v>Fecha de nacimiento</v>
      </c>
      <c r="G100" s="1" t="s">
        <v>91</v>
      </c>
      <c r="H100" s="1" t="s">
        <v>170</v>
      </c>
      <c r="I100" s="1" t="s">
        <v>24</v>
      </c>
      <c r="J100" s="1" t="s">
        <v>581</v>
      </c>
      <c r="K100" s="1" t="s">
        <v>299</v>
      </c>
      <c r="L100" s="1" t="s">
        <v>376</v>
      </c>
      <c r="M100" s="1" t="s">
        <v>454</v>
      </c>
      <c r="N100" s="5" t="str">
        <f>CONCATENATE("UPDATE ",Database_ESP[[#This Row],[Table]]," SET ",Database_ESP[[#This Row],[Column]]," = '",Database_ESP[[#This Row],[POR.XAVI.INICIAL]],"' WHERE LanguageTag = '",Database_ESP[[#This Row],[Tag]],"'")</f>
        <v>UPDATE sysrouserfields SET fieldname = 'Exemplo de um horário de escritório rígido (horas obrigatórias), com entrada às 8:00 e saída às 14:00 e entrada às 15:00 e saída às 17:00, não se esqueça de registar as suas pausas.  ' WHERE LanguageTag = 'fechadenacimiento'</v>
      </c>
      <c r="O100" s="5" t="str">
        <f>CONCATENATE("UPDATE ",Database_ESP[[#This Row],[Table]]," SET ",Database_ESP[[#This Row],[Column]]," = '",Database_ESP[[#This Row],[ESP]],"' WHERE LanguageTag = '",Database_ESP[[#This Row],[Tag]],"'")</f>
        <v>UPDATE sysrouserfields SET fieldname = 'Fecha de nacimiento' WHERE LanguageTag = 'fechadenacimiento'</v>
      </c>
      <c r="P100" s="5" t="str">
        <f>CONCATENATE("UPDATE ",Database_ESP[[#This Row],[Table]]," SET ",Database_ESP[[#This Row],[Column]]," = '",Database_ESP[[#This Row],[ENG]],"' WHERE LanguageTag = '",Database_ESP[[#This Row],[Tag]],"'")</f>
        <v>UPDATE sysrouserfields SET fieldname = 'Birthdate' WHERE LanguageTag = 'fechadenacimiento'</v>
      </c>
      <c r="Q100" s="5" t="str">
        <f>CONCATENATE("UPDATE ",Database_ESP[[#This Row],[Table]]," SET ",Database_ESP[[#This Row],[Column]]," = '",Database_ESP[[#This Row],[FR]],"' WHERE LanguageTag = '",Database_ESP[[#This Row],[Tag]],"'")</f>
        <v>UPDATE sysrouserfields SET fieldname = 'Date de naissance' WHERE LanguageTag = 'fechadenacimiento'</v>
      </c>
      <c r="R100" s="5" t="str">
        <f>CONCATENATE("UPDATE ",Database_ESP[[#This Row],[Table]]," SET ",Database_ESP[[#This Row],[Column]]," = '",Database_ESP[[#This Row],[IT]],"' WHERE LanguageTag = '",Database_ESP[[#This Row],[Tag]],"'")</f>
        <v>UPDATE sysrouserfields SET fieldname = 'Data di nascita' WHERE LanguageTag = 'fechadenacimiento'</v>
      </c>
      <c r="S100" s="5" t="str">
        <f>CONCATENATE("UPDATE ",Database_ESP[[#This Row],[Table]]," SET ",Database_ESP[[#This Row],[Column]]," = '",Database_ESP[[#This Row],[SK]],"' WHERE LanguageTag = '",Database_ESP[[#This Row],[Tag]],"'")</f>
        <v>UPDATE sysrouserfields SET fieldname = 'Dátum narodenia' WHERE LanguageTag = 'fechadenacimiento'</v>
      </c>
    </row>
    <row r="101" spans="1:19" ht="75" x14ac:dyDescent="0.25">
      <c r="A101" s="2" t="s">
        <v>695</v>
      </c>
      <c r="B101" s="2" t="str">
        <f t="shared" si="13"/>
        <v>RES_database_one.sysrouserfields.genero.category.rotext</v>
      </c>
      <c r="C101" s="2" t="str">
        <f t="shared" si="14"/>
        <v>sysrouserfields</v>
      </c>
      <c r="D101" s="2" t="str">
        <f t="shared" si="15"/>
        <v>genero</v>
      </c>
      <c r="E101" s="2" t="str">
        <f t="shared" si="16"/>
        <v>category</v>
      </c>
      <c r="F101" s="2" t="str">
        <f t="shared" si="17"/>
        <v>Laboral</v>
      </c>
      <c r="G101" s="1" t="s">
        <v>106</v>
      </c>
      <c r="H101" s="1" t="s">
        <v>171</v>
      </c>
      <c r="I101" s="1" t="s">
        <v>106</v>
      </c>
      <c r="J101" s="1" t="s">
        <v>576</v>
      </c>
      <c r="K101" s="1" t="s">
        <v>291</v>
      </c>
      <c r="L101" s="1" t="s">
        <v>367</v>
      </c>
      <c r="M101" s="1" t="s">
        <v>445</v>
      </c>
      <c r="N101" s="5" t="str">
        <f>CONCATENATE("UPDATE ",Database_ESP[[#This Row],[Table]]," SET ",Database_ESP[[#This Row],[Column]]," = '",Database_ESP[[#This Row],[POR.XAVI.INICIAL]],"' WHERE LanguageTag = '",Database_ESP[[#This Row],[Tag]],"'")</f>
        <v>UPDATE sysrouserfields SET category = 'Combinação de escritórios' WHERE LanguageTag = 'genero'</v>
      </c>
      <c r="O101" s="5" t="str">
        <f>CONCATENATE("UPDATE ",Database_ESP[[#This Row],[Table]]," SET ",Database_ESP[[#This Row],[Column]]," = '",Database_ESP[[#This Row],[ESP]],"' WHERE LanguageTag = '",Database_ESP[[#This Row],[Tag]],"'")</f>
        <v>UPDATE sysrouserfields SET category = 'Laboral' WHERE LanguageTag = 'genero'</v>
      </c>
      <c r="P101" s="5" t="str">
        <f>CONCATENATE("UPDATE ",Database_ESP[[#This Row],[Table]]," SET ",Database_ESP[[#This Row],[Column]]," = '",Database_ESP[[#This Row],[ENG]],"' WHERE LanguageTag = '",Database_ESP[[#This Row],[Tag]],"'")</f>
        <v>UPDATE sysrouserfields SET category = 'Labor' WHERE LanguageTag = 'genero'</v>
      </c>
      <c r="Q101" s="5" t="str">
        <f>CONCATENATE("UPDATE ",Database_ESP[[#This Row],[Table]]," SET ",Database_ESP[[#This Row],[Column]]," = '",Database_ESP[[#This Row],[FR]],"' WHERE LanguageTag = '",Database_ESP[[#This Row],[Tag]],"'")</f>
        <v>UPDATE sysrouserfields SET category = 'Professionnel' WHERE LanguageTag = 'genero'</v>
      </c>
      <c r="R101" s="5" t="str">
        <f>CONCATENATE("UPDATE ",Database_ESP[[#This Row],[Table]]," SET ",Database_ESP[[#This Row],[Column]]," = '",Database_ESP[[#This Row],[IT]],"' WHERE LanguageTag = '",Database_ESP[[#This Row],[Tag]],"'")</f>
        <v>UPDATE sysrouserfields SET category = 'Lavorativo' WHERE LanguageTag = 'genero'</v>
      </c>
      <c r="S101" s="5" t="str">
        <f>CONCATENATE("UPDATE ",Database_ESP[[#This Row],[Table]]," SET ",Database_ESP[[#This Row],[Column]]," = '",Database_ESP[[#This Row],[SK]],"' WHERE LanguageTag = '",Database_ESP[[#This Row],[Tag]],"'")</f>
        <v>UPDATE sysrouserfields SET category = 'Práca' WHERE LanguageTag = 'genero'</v>
      </c>
    </row>
    <row r="102" spans="1:19" ht="270" x14ac:dyDescent="0.25">
      <c r="A102" s="2" t="s">
        <v>696</v>
      </c>
      <c r="B102" s="2" t="str">
        <f t="shared" si="13"/>
        <v>RES_database_one.sysrouserfields.genero.fieldname.rotext</v>
      </c>
      <c r="C102" s="2" t="str">
        <f t="shared" si="14"/>
        <v>sysrouserfields</v>
      </c>
      <c r="D102" s="2" t="str">
        <f t="shared" si="15"/>
        <v>genero</v>
      </c>
      <c r="E102" s="2" t="str">
        <f t="shared" si="16"/>
        <v>fieldname</v>
      </c>
      <c r="F102" s="2" t="str">
        <f t="shared" si="17"/>
        <v>Género</v>
      </c>
      <c r="G102" s="1" t="s">
        <v>4</v>
      </c>
      <c r="H102" s="1" t="s">
        <v>172</v>
      </c>
      <c r="I102" s="1" t="s">
        <v>4</v>
      </c>
      <c r="J102" s="1" t="s">
        <v>231</v>
      </c>
      <c r="K102" s="1" t="s">
        <v>300</v>
      </c>
      <c r="L102" s="1" t="s">
        <v>377</v>
      </c>
      <c r="M102" s="1" t="s">
        <v>455</v>
      </c>
      <c r="N102" s="5" t="str">
        <f>CONCATENATE("UPDATE ",Database_ESP[[#This Row],[Table]]," SET ",Database_ESP[[#This Row],[Column]]," = '",Database_ESP[[#This Row],[POR.XAVI.INICIAL]],"' WHERE LanguageTag = '",Database_ESP[[#This Row],[Tag]],"'")</f>
        <v>UPDATE sysrouserfields SET fieldname = 'Exemplo de um horário intensivo (horas obrigatórias), com uma hora de início às 6:00 e uma hora de fim às 14:00.  ' WHERE LanguageTag = 'genero'</v>
      </c>
      <c r="O102" s="5" t="str">
        <f>CONCATENATE("UPDATE ",Database_ESP[[#This Row],[Table]]," SET ",Database_ESP[[#This Row],[Column]]," = '",Database_ESP[[#This Row],[ESP]],"' WHERE LanguageTag = '",Database_ESP[[#This Row],[Tag]],"'")</f>
        <v>UPDATE sysrouserfields SET fieldname = 'Género' WHERE LanguageTag = 'genero'</v>
      </c>
      <c r="P102" s="5" t="str">
        <f>CONCATENATE("UPDATE ",Database_ESP[[#This Row],[Table]]," SET ",Database_ESP[[#This Row],[Column]]," = '",Database_ESP[[#This Row],[ENG]],"' WHERE LanguageTag = '",Database_ESP[[#This Row],[Tag]],"'")</f>
        <v>UPDATE sysrouserfields SET fieldname = 'Gender' WHERE LanguageTag = 'genero'</v>
      </c>
      <c r="Q102" s="5" t="str">
        <f>CONCATENATE("UPDATE ",Database_ESP[[#This Row],[Table]]," SET ",Database_ESP[[#This Row],[Column]]," = '",Database_ESP[[#This Row],[FR]],"' WHERE LanguageTag = '",Database_ESP[[#This Row],[Tag]],"'")</f>
        <v>UPDATE sysrouserfields SET fieldname = 'Sexe' WHERE LanguageTag = 'genero'</v>
      </c>
      <c r="R102" s="5" t="str">
        <f>CONCATENATE("UPDATE ",Database_ESP[[#This Row],[Table]]," SET ",Database_ESP[[#This Row],[Column]]," = '",Database_ESP[[#This Row],[IT]],"' WHERE LanguageTag = '",Database_ESP[[#This Row],[Tag]],"'")</f>
        <v>UPDATE sysrouserfields SET fieldname = 'Genere' WHERE LanguageTag = 'genero'</v>
      </c>
      <c r="S102" s="5" t="str">
        <f>CONCATENATE("UPDATE ",Database_ESP[[#This Row],[Table]]," SET ",Database_ESP[[#This Row],[Column]]," = '",Database_ESP[[#This Row],[SK]],"' WHERE LanguageTag = '",Database_ESP[[#This Row],[Tag]],"'")</f>
        <v>UPDATE sysrouserfields SET fieldname = 'Pohlavie' WHERE LanguageTag = 'genero'</v>
      </c>
    </row>
    <row r="103" spans="1:19" ht="90" x14ac:dyDescent="0.25">
      <c r="A103" s="2" t="s">
        <v>859</v>
      </c>
      <c r="B103" s="2" t="str">
        <f t="shared" si="13"/>
        <v>RES_database_one.sysrouserfields.genero.listvalues.rotext</v>
      </c>
      <c r="C103" s="2" t="str">
        <f t="shared" si="14"/>
        <v>sysrouserfields</v>
      </c>
      <c r="D103" s="2" t="str">
        <f t="shared" si="15"/>
        <v>genero</v>
      </c>
      <c r="E103" s="2" t="str">
        <f t="shared" si="16"/>
        <v>listvalues</v>
      </c>
      <c r="F103" s="2" t="str">
        <f t="shared" si="17"/>
        <v>Hombre~Mujer</v>
      </c>
      <c r="G103" s="1" t="s">
        <v>101</v>
      </c>
      <c r="H103" s="1" t="s">
        <v>173</v>
      </c>
      <c r="I103" s="1" t="s">
        <v>764</v>
      </c>
      <c r="J103" s="1" t="s">
        <v>582</v>
      </c>
      <c r="K103" s="1" t="s">
        <v>301</v>
      </c>
      <c r="L103" s="1" t="s">
        <v>378</v>
      </c>
      <c r="M103" s="1" t="s">
        <v>456</v>
      </c>
      <c r="N103" s="5" t="str">
        <f>CONCATENATE("UPDATE ",Database_ESP[[#This Row],[Table]]," SET ",Database_ESP[[#This Row],[Column]]," = '",Database_ESP[[#This Row],[POR.XAVI.INICIAL]],"' WHERE LanguageTag = '",Database_ESP[[#This Row],[Tag]],"'")</f>
        <v>UPDATE sysrouserfields SET listvalues = 'Turno de produção das 6:00 às 14:00' WHERE LanguageTag = 'genero'</v>
      </c>
      <c r="O103" s="5" t="str">
        <f>CONCATENATE("UPDATE ",Database_ESP[[#This Row],[Table]]," SET ",Database_ESP[[#This Row],[Column]]," = '",Database_ESP[[#This Row],[ESP]],"' WHERE LanguageTag = '",Database_ESP[[#This Row],[Tag]],"'")</f>
        <v>UPDATE sysrouserfields SET listvalues = 'Hombre~Mujer' WHERE LanguageTag = 'genero'</v>
      </c>
      <c r="P103" s="5" t="str">
        <f>CONCATENATE("UPDATE ",Database_ESP[[#This Row],[Table]]," SET ",Database_ESP[[#This Row],[Column]]," = '",Database_ESP[[#This Row],[ENG]],"' WHERE LanguageTag = '",Database_ESP[[#This Row],[Tag]],"'")</f>
        <v>UPDATE sysrouserfields SET listvalues = 'Man~Woman' WHERE LanguageTag = 'genero'</v>
      </c>
      <c r="Q103" s="5" t="str">
        <f>CONCATENATE("UPDATE ",Database_ESP[[#This Row],[Table]]," SET ",Database_ESP[[#This Row],[Column]]," = '",Database_ESP[[#This Row],[FR]],"' WHERE LanguageTag = '",Database_ESP[[#This Row],[Tag]],"'")</f>
        <v>UPDATE sysrouserfields SET listvalues = 'Homme~Femme' WHERE LanguageTag = 'genero'</v>
      </c>
      <c r="R103" s="5" t="str">
        <f>CONCATENATE("UPDATE ",Database_ESP[[#This Row],[Table]]," SET ",Database_ESP[[#This Row],[Column]]," = '",Database_ESP[[#This Row],[IT]],"' WHERE LanguageTag = '",Database_ESP[[#This Row],[Tag]],"'")</f>
        <v>UPDATE sysrouserfields SET listvalues = 'Maschio~Femmina' WHERE LanguageTag = 'genero'</v>
      </c>
      <c r="S103" s="5" t="str">
        <f>CONCATENATE("UPDATE ",Database_ESP[[#This Row],[Table]]," SET ",Database_ESP[[#This Row],[Column]]," = '",Database_ESP[[#This Row],[SK]],"' WHERE LanguageTag = '",Database_ESP[[#This Row],[Tag]],"'")</f>
        <v>UPDATE sysrouserfields SET listvalues = 'Muž~Žena' WHERE LanguageTag = 'genero'</v>
      </c>
    </row>
    <row r="104" spans="1:19" ht="60" x14ac:dyDescent="0.25">
      <c r="A104" s="2" t="s">
        <v>697</v>
      </c>
      <c r="B104" s="2" t="str">
        <f t="shared" si="13"/>
        <v>RES_database_one.sysrouserfields.grupodecotizacion.category.rotext</v>
      </c>
      <c r="C104" s="2" t="str">
        <f t="shared" si="14"/>
        <v>sysrouserfields</v>
      </c>
      <c r="D104" s="2" t="str">
        <f t="shared" si="15"/>
        <v>grupodecotizacion</v>
      </c>
      <c r="E104" s="2" t="str">
        <f t="shared" si="16"/>
        <v>category</v>
      </c>
      <c r="F104" s="2" t="str">
        <f t="shared" si="17"/>
        <v>Laboral</v>
      </c>
      <c r="G104" s="1" t="s">
        <v>106</v>
      </c>
      <c r="H104" s="1" t="s">
        <v>174</v>
      </c>
      <c r="I104" s="1" t="s">
        <v>106</v>
      </c>
      <c r="J104" s="1" t="s">
        <v>576</v>
      </c>
      <c r="K104" s="1" t="s">
        <v>291</v>
      </c>
      <c r="L104" s="1" t="s">
        <v>367</v>
      </c>
      <c r="M104" s="1" t="s">
        <v>445</v>
      </c>
      <c r="N104" s="5" t="str">
        <f>CONCATENATE("UPDATE ",Database_ESP[[#This Row],[Table]]," SET ",Database_ESP[[#This Row],[Column]]," = '",Database_ESP[[#This Row],[POR.XAVI.INICIAL]],"' WHERE LanguageTag = '",Database_ESP[[#This Row],[Tag]],"'")</f>
        <v>UPDATE sysrouserfields SET category = 'Feriados em dias úteis.  ' WHERE LanguageTag = 'grupodecotizacion'</v>
      </c>
      <c r="O104" s="5" t="str">
        <f>CONCATENATE("UPDATE ",Database_ESP[[#This Row],[Table]]," SET ",Database_ESP[[#This Row],[Column]]," = '",Database_ESP[[#This Row],[ESP]],"' WHERE LanguageTag = '",Database_ESP[[#This Row],[Tag]],"'")</f>
        <v>UPDATE sysrouserfields SET category = 'Laboral' WHERE LanguageTag = 'grupodecotizacion'</v>
      </c>
      <c r="P104" s="5" t="str">
        <f>CONCATENATE("UPDATE ",Database_ESP[[#This Row],[Table]]," SET ",Database_ESP[[#This Row],[Column]]," = '",Database_ESP[[#This Row],[ENG]],"' WHERE LanguageTag = '",Database_ESP[[#This Row],[Tag]],"'")</f>
        <v>UPDATE sysrouserfields SET category = 'Labor' WHERE LanguageTag = 'grupodecotizacion'</v>
      </c>
      <c r="Q104" s="5" t="str">
        <f>CONCATENATE("UPDATE ",Database_ESP[[#This Row],[Table]]," SET ",Database_ESP[[#This Row],[Column]]," = '",Database_ESP[[#This Row],[FR]],"' WHERE LanguageTag = '",Database_ESP[[#This Row],[Tag]],"'")</f>
        <v>UPDATE sysrouserfields SET category = 'Professionnel' WHERE LanguageTag = 'grupodecotizacion'</v>
      </c>
      <c r="R104" s="5" t="str">
        <f>CONCATENATE("UPDATE ",Database_ESP[[#This Row],[Table]]," SET ",Database_ESP[[#This Row],[Column]]," = '",Database_ESP[[#This Row],[IT]],"' WHERE LanguageTag = '",Database_ESP[[#This Row],[Tag]],"'")</f>
        <v>UPDATE sysrouserfields SET category = 'Lavorativo' WHERE LanguageTag = 'grupodecotizacion'</v>
      </c>
      <c r="S104" s="5" t="str">
        <f>CONCATENATE("UPDATE ",Database_ESP[[#This Row],[Table]]," SET ",Database_ESP[[#This Row],[Column]]," = '",Database_ESP[[#This Row],[SK]],"' WHERE LanguageTag = '",Database_ESP[[#This Row],[Tag]],"'")</f>
        <v>UPDATE sysrouserfields SET category = 'Práca' WHERE LanguageTag = 'grupodecotizacion'</v>
      </c>
    </row>
    <row r="105" spans="1:19" ht="30" x14ac:dyDescent="0.25">
      <c r="A105" s="2" t="s">
        <v>860</v>
      </c>
      <c r="B105" s="2" t="str">
        <f t="shared" si="13"/>
        <v>RES_database_one.sysrouserfields.grupodecotizacion.fieldname.rotext</v>
      </c>
      <c r="C105" s="2" t="str">
        <f t="shared" si="14"/>
        <v>sysrouserfields</v>
      </c>
      <c r="D105" s="2" t="str">
        <f t="shared" si="15"/>
        <v>grupodecotizacion</v>
      </c>
      <c r="E105" s="2" t="str">
        <f t="shared" si="16"/>
        <v>fieldname</v>
      </c>
      <c r="F105" s="2" t="str">
        <f t="shared" si="17"/>
        <v>Grupo de cotización</v>
      </c>
      <c r="G105" s="1" t="s">
        <v>81</v>
      </c>
      <c r="H105" s="1" t="s">
        <v>10</v>
      </c>
      <c r="I105" s="1" t="s">
        <v>488</v>
      </c>
      <c r="J105" s="1" t="s">
        <v>583</v>
      </c>
      <c r="K105" s="1" t="s">
        <v>302</v>
      </c>
      <c r="L105" s="1" t="s">
        <v>379</v>
      </c>
      <c r="M105" s="1" t="s">
        <v>457</v>
      </c>
      <c r="N105" s="5" t="str">
        <f>CONCATENATE("UPDATE ",Database_ESP[[#This Row],[Table]]," SET ",Database_ESP[[#This Row],[Column]]," = '",Database_ESP[[#This Row],[POR.XAVI.INICIAL]],"' WHERE LanguageTag = '",Database_ESP[[#This Row],[Tag]],"'")</f>
        <v>UPDATE sysrouserfields SET fieldname = 'Feriados' WHERE LanguageTag = 'grupodecotizacion'</v>
      </c>
      <c r="O105" s="5" t="str">
        <f>CONCATENATE("UPDATE ",Database_ESP[[#This Row],[Table]]," SET ",Database_ESP[[#This Row],[Column]]," = '",Database_ESP[[#This Row],[ESP]],"' WHERE LanguageTag = '",Database_ESP[[#This Row],[Tag]],"'")</f>
        <v>UPDATE sysrouserfields SET fieldname = 'Grupo de cotización' WHERE LanguageTag = 'grupodecotizacion'</v>
      </c>
      <c r="P105" s="5" t="str">
        <f>CONCATENATE("UPDATE ",Database_ESP[[#This Row],[Table]]," SET ",Database_ESP[[#This Row],[Column]]," = '",Database_ESP[[#This Row],[ENG]],"' WHERE LanguageTag = '",Database_ESP[[#This Row],[Tag]],"'")</f>
        <v>UPDATE sysrouserfields SET fieldname = 'Contribution group' WHERE LanguageTag = 'grupodecotizacion'</v>
      </c>
      <c r="Q105" s="5" t="str">
        <f>CONCATENATE("UPDATE ",Database_ESP[[#This Row],[Table]]," SET ",Database_ESP[[#This Row],[Column]]," = '",Database_ESP[[#This Row],[FR]],"' WHERE LanguageTag = '",Database_ESP[[#This Row],[Tag]],"'")</f>
        <v>UPDATE sysrouserfields SET fieldname = 'Groupe de cotisation' WHERE LanguageTag = 'grupodecotizacion'</v>
      </c>
      <c r="R105" s="5" t="str">
        <f>CONCATENATE("UPDATE ",Database_ESP[[#This Row],[Table]]," SET ",Database_ESP[[#This Row],[Column]]," = '",Database_ESP[[#This Row],[IT]],"' WHERE LanguageTag = '",Database_ESP[[#This Row],[Tag]],"'")</f>
        <v>UPDATE sysrouserfields SET fieldname = 'Gruppo contributivo' WHERE LanguageTag = 'grupodecotizacion'</v>
      </c>
      <c r="S105" s="5" t="str">
        <f>CONCATENATE("UPDATE ",Database_ESP[[#This Row],[Table]]," SET ",Database_ESP[[#This Row],[Column]]," = '",Database_ESP[[#This Row],[SK]],"' WHERE LanguageTag = '",Database_ESP[[#This Row],[Tag]],"'")</f>
        <v>UPDATE sysrouserfields SET fieldname = 'Skupina príspevkov' WHERE LanguageTag = 'grupodecotizacion'</v>
      </c>
    </row>
    <row r="106" spans="1:19" ht="75" x14ac:dyDescent="0.25">
      <c r="A106" s="2" t="s">
        <v>506</v>
      </c>
      <c r="B106" s="2" t="str">
        <f t="shared" si="13"/>
        <v>RES_database_one.sysrouserfields.grupodecotizacion.listvalues.rotext</v>
      </c>
      <c r="C106" s="2" t="str">
        <f t="shared" si="14"/>
        <v>sysrouserfields</v>
      </c>
      <c r="D106" s="2" t="str">
        <f t="shared" si="15"/>
        <v>grupodecotizacion</v>
      </c>
      <c r="E106" s="2" t="str">
        <f t="shared" si="16"/>
        <v>listvalues</v>
      </c>
      <c r="F106" s="2" t="str">
        <f t="shared" si="17"/>
        <v>1~11~19~2~3~4~5~6~7~8~9</v>
      </c>
      <c r="G106" s="1" t="s">
        <v>7</v>
      </c>
      <c r="H106" s="1" t="s">
        <v>175</v>
      </c>
      <c r="I106" s="1" t="s">
        <v>7</v>
      </c>
      <c r="J106" s="1" t="s">
        <v>7</v>
      </c>
      <c r="K106" s="1" t="s">
        <v>7</v>
      </c>
      <c r="L106" s="1" t="s">
        <v>7</v>
      </c>
      <c r="M106" s="1" t="s">
        <v>7</v>
      </c>
      <c r="N106" s="5" t="str">
        <f>CONCATENATE("UPDATE ",Database_ESP[[#This Row],[Table]]," SET ",Database_ESP[[#This Row],[Column]]," = '",Database_ESP[[#This Row],[POR.XAVI.INICIAL]],"' WHERE LanguageTag = '",Database_ESP[[#This Row],[Tag]],"'")</f>
        <v>UPDATE sysrouserfields SET listvalues = 'Feriados no ano anterior.  ' WHERE LanguageTag = 'grupodecotizacion'</v>
      </c>
      <c r="O106" s="5" t="str">
        <f>CONCATENATE("UPDATE ",Database_ESP[[#This Row],[Table]]," SET ",Database_ESP[[#This Row],[Column]]," = '",Database_ESP[[#This Row],[ESP]],"' WHERE LanguageTag = '",Database_ESP[[#This Row],[Tag]],"'")</f>
        <v>UPDATE sysrouserfields SET listvalues = '1~11~19~2~3~4~5~6~7~8~9' WHERE LanguageTag = 'grupodecotizacion'</v>
      </c>
      <c r="P106" s="5" t="str">
        <f>CONCATENATE("UPDATE ",Database_ESP[[#This Row],[Table]]," SET ",Database_ESP[[#This Row],[Column]]," = '",Database_ESP[[#This Row],[ENG]],"' WHERE LanguageTag = '",Database_ESP[[#This Row],[Tag]],"'")</f>
        <v>UPDATE sysrouserfields SET listvalues = '1~11~19~2~3~4~5~6~7~8~9' WHERE LanguageTag = 'grupodecotizacion'</v>
      </c>
      <c r="Q106" s="5" t="str">
        <f>CONCATENATE("UPDATE ",Database_ESP[[#This Row],[Table]]," SET ",Database_ESP[[#This Row],[Column]]," = '",Database_ESP[[#This Row],[FR]],"' WHERE LanguageTag = '",Database_ESP[[#This Row],[Tag]],"'")</f>
        <v>UPDATE sysrouserfields SET listvalues = '1~11~19~2~3~4~5~6~7~8~9' WHERE LanguageTag = 'grupodecotizacion'</v>
      </c>
      <c r="R106" s="5" t="str">
        <f>CONCATENATE("UPDATE ",Database_ESP[[#This Row],[Table]]," SET ",Database_ESP[[#This Row],[Column]]," = '",Database_ESP[[#This Row],[IT]],"' WHERE LanguageTag = '",Database_ESP[[#This Row],[Tag]],"'")</f>
        <v>UPDATE sysrouserfields SET listvalues = '1~11~19~2~3~4~5~6~7~8~9' WHERE LanguageTag = 'grupodecotizacion'</v>
      </c>
      <c r="S106" s="5" t="str">
        <f>CONCATENATE("UPDATE ",Database_ESP[[#This Row],[Table]]," SET ",Database_ESP[[#This Row],[Column]]," = '",Database_ESP[[#This Row],[SK]],"' WHERE LanguageTag = '",Database_ESP[[#This Row],[Tag]],"'")</f>
        <v>UPDATE sysrouserfields SET listvalues = '1~11~19~2~3~4~5~6~7~8~9' WHERE LanguageTag = 'grupodecotizacion'</v>
      </c>
    </row>
    <row r="107" spans="1:19" ht="60" x14ac:dyDescent="0.25">
      <c r="A107" s="2" t="s">
        <v>507</v>
      </c>
      <c r="B107" s="2" t="str">
        <f t="shared" si="13"/>
        <v>RES_database_one.sysrouserfields.idimportacion.category.rotext</v>
      </c>
      <c r="C107" s="2" t="str">
        <f t="shared" si="14"/>
        <v>sysrouserfields</v>
      </c>
      <c r="D107" s="2" t="str">
        <f t="shared" si="15"/>
        <v>idimportacion</v>
      </c>
      <c r="E107" s="2" t="str">
        <f t="shared" si="16"/>
        <v>category</v>
      </c>
      <c r="F107" s="2" t="str">
        <f t="shared" si="17"/>
        <v>VisualTime</v>
      </c>
      <c r="G107" s="1" t="s">
        <v>40</v>
      </c>
      <c r="H107" s="1" t="s">
        <v>117</v>
      </c>
      <c r="I107" s="1" t="s">
        <v>227</v>
      </c>
      <c r="J107" s="1" t="s">
        <v>40</v>
      </c>
      <c r="K107" s="1" t="s">
        <v>227</v>
      </c>
      <c r="L107" s="1" t="s">
        <v>227</v>
      </c>
      <c r="M107" s="1" t="s">
        <v>227</v>
      </c>
      <c r="N107" s="5" t="str">
        <f>CONCATENATE("UPDATE ",Database_ESP[[#This Row],[Table]]," SET ",Database_ESP[[#This Row],[Column]]," = '",Database_ESP[[#This Row],[POR.XAVI.INICIAL]],"' WHERE LanguageTag = '",Database_ESP[[#This Row],[Tag]],"'")</f>
        <v>UPDATE sysrouserfields SET category = 'Férias do ano anterior' WHERE LanguageTag = 'idimportacion'</v>
      </c>
      <c r="O107" s="5" t="str">
        <f>CONCATENATE("UPDATE ",Database_ESP[[#This Row],[Table]]," SET ",Database_ESP[[#This Row],[Column]]," = '",Database_ESP[[#This Row],[ESP]],"' WHERE LanguageTag = '",Database_ESP[[#This Row],[Tag]],"'")</f>
        <v>UPDATE sysrouserfields SET category = 'VisualTime' WHERE LanguageTag = 'idimportacion'</v>
      </c>
      <c r="P107" s="5" t="str">
        <f>CONCATENATE("UPDATE ",Database_ESP[[#This Row],[Table]]," SET ",Database_ESP[[#This Row],[Column]]," = '",Database_ESP[[#This Row],[ENG]],"' WHERE LanguageTag = '",Database_ESP[[#This Row],[Tag]],"'")</f>
        <v>UPDATE sysrouserfields SET category = 'VisualTime' WHERE LanguageTag = 'idimportacion'</v>
      </c>
      <c r="Q107" s="5" t="str">
        <f>CONCATENATE("UPDATE ",Database_ESP[[#This Row],[Table]]," SET ",Database_ESP[[#This Row],[Column]]," = '",Database_ESP[[#This Row],[FR]],"' WHERE LanguageTag = '",Database_ESP[[#This Row],[Tag]],"'")</f>
        <v>UPDATE sysrouserfields SET category = 'Visualtime' WHERE LanguageTag = 'idimportacion'</v>
      </c>
      <c r="R107" s="5" t="str">
        <f>CONCATENATE("UPDATE ",Database_ESP[[#This Row],[Table]]," SET ",Database_ESP[[#This Row],[Column]]," = '",Database_ESP[[#This Row],[IT]],"' WHERE LanguageTag = '",Database_ESP[[#This Row],[Tag]],"'")</f>
        <v>UPDATE sysrouserfields SET category = 'Visualtime' WHERE LanguageTag = 'idimportacion'</v>
      </c>
      <c r="S107" s="5" t="str">
        <f>CONCATENATE("UPDATE ",Database_ESP[[#This Row],[Table]]," SET ",Database_ESP[[#This Row],[Column]]," = '",Database_ESP[[#This Row],[SK]],"' WHERE LanguageTag = '",Database_ESP[[#This Row],[Tag]],"'")</f>
        <v>UPDATE sysrouserfields SET category = 'Visualtime' WHERE LanguageTag = 'idimportacion'</v>
      </c>
    </row>
    <row r="108" spans="1:19" ht="30" x14ac:dyDescent="0.25">
      <c r="A108" s="2" t="s">
        <v>861</v>
      </c>
      <c r="B108" s="2" t="str">
        <f t="shared" si="13"/>
        <v>RES_database_one.sysrouserfields.idimportacion.fieldname.rotext</v>
      </c>
      <c r="C108" s="2" t="str">
        <f t="shared" si="14"/>
        <v>sysrouserfields</v>
      </c>
      <c r="D108" s="2" t="str">
        <f t="shared" si="15"/>
        <v>idimportacion</v>
      </c>
      <c r="E108" s="2" t="str">
        <f t="shared" si="16"/>
        <v>fieldname</v>
      </c>
      <c r="F108" s="2" t="str">
        <f t="shared" si="17"/>
        <v>Id importación</v>
      </c>
      <c r="G108" s="1" t="s">
        <v>100</v>
      </c>
      <c r="H108" s="1" t="s">
        <v>134</v>
      </c>
      <c r="I108" s="1" t="s">
        <v>765</v>
      </c>
      <c r="J108" s="1" t="s">
        <v>584</v>
      </c>
      <c r="K108" s="1" t="s">
        <v>303</v>
      </c>
      <c r="L108" s="1" t="s">
        <v>380</v>
      </c>
      <c r="M108" s="1" t="s">
        <v>458</v>
      </c>
      <c r="N108" s="5" t="str">
        <f>CONCATENATE("UPDATE ",Database_ESP[[#This Row],[Table]]," SET ",Database_ESP[[#This Row],[Column]]," = '",Database_ESP[[#This Row],[POR.XAVI.INICIAL]],"' WHERE LanguageTag = '",Database_ESP[[#This Row],[Tag]],"'")</f>
        <v>UPDATE sysrouserfields SET fieldname = 'Férias iniciais' WHERE LanguageTag = 'idimportacion'</v>
      </c>
      <c r="O108" s="5" t="str">
        <f>CONCATENATE("UPDATE ",Database_ESP[[#This Row],[Table]]," SET ",Database_ESP[[#This Row],[Column]]," = '",Database_ESP[[#This Row],[ESP]],"' WHERE LanguageTag = '",Database_ESP[[#This Row],[Tag]],"'")</f>
        <v>UPDATE sysrouserfields SET fieldname = 'Id importación' WHERE LanguageTag = 'idimportacion'</v>
      </c>
      <c r="P108" s="5" t="str">
        <f>CONCATENATE("UPDATE ",Database_ESP[[#This Row],[Table]]," SET ",Database_ESP[[#This Row],[Column]]," = '",Database_ESP[[#This Row],[ENG]],"' WHERE LanguageTag = '",Database_ESP[[#This Row],[Tag]],"'")</f>
        <v>UPDATE sysrouserfields SET fieldname = 'Import ID' WHERE LanguageTag = 'idimportacion'</v>
      </c>
      <c r="Q108" s="5" t="str">
        <f>CONCATENATE("UPDATE ",Database_ESP[[#This Row],[Table]]," SET ",Database_ESP[[#This Row],[Column]]," = '",Database_ESP[[#This Row],[FR]],"' WHERE LanguageTag = '",Database_ESP[[#This Row],[Tag]],"'")</f>
        <v>UPDATE sysrouserfields SET fieldname = 'identifiant d'importation' WHERE LanguageTag = 'idimportacion'</v>
      </c>
      <c r="R108" s="5" t="str">
        <f>CONCATENATE("UPDATE ",Database_ESP[[#This Row],[Table]]," SET ",Database_ESP[[#This Row],[Column]]," = '",Database_ESP[[#This Row],[IT]],"' WHERE LanguageTag = '",Database_ESP[[#This Row],[Tag]],"'")</f>
        <v>UPDATE sysrouserfields SET fieldname = 'ID importazione' WHERE LanguageTag = 'idimportacion'</v>
      </c>
      <c r="S108" s="5" t="str">
        <f>CONCATENATE("UPDATE ",Database_ESP[[#This Row],[Table]]," SET ",Database_ESP[[#This Row],[Column]]," = '",Database_ESP[[#This Row],[SK]],"' WHERE LanguageTag = '",Database_ESP[[#This Row],[Tag]],"'")</f>
        <v>UPDATE sysrouserfields SET fieldname = 'Import Id' WHERE LanguageTag = 'idimportacion'</v>
      </c>
    </row>
    <row r="109" spans="1:19" ht="45" x14ac:dyDescent="0.25">
      <c r="A109" s="2" t="s">
        <v>862</v>
      </c>
      <c r="B109" s="2" t="str">
        <f t="shared" si="13"/>
        <v>RES_database_one.sysrouserfields.motivodebaja.fieldname.rotext</v>
      </c>
      <c r="C109" s="2" t="str">
        <f t="shared" si="14"/>
        <v>sysrouserfields</v>
      </c>
      <c r="D109" s="2" t="str">
        <f t="shared" si="15"/>
        <v>motivodebaja</v>
      </c>
      <c r="E109" s="2" t="str">
        <f t="shared" si="16"/>
        <v>fieldname</v>
      </c>
      <c r="F109" s="2" t="str">
        <f t="shared" si="17"/>
        <v>Motivo de baja</v>
      </c>
      <c r="G109" s="1" t="s">
        <v>93</v>
      </c>
      <c r="H109" s="1" t="s">
        <v>135</v>
      </c>
      <c r="I109" s="1" t="s">
        <v>766</v>
      </c>
      <c r="J109" s="1" t="s">
        <v>585</v>
      </c>
      <c r="K109" s="1" t="s">
        <v>304</v>
      </c>
      <c r="L109" s="1" t="s">
        <v>381</v>
      </c>
      <c r="M109" s="1" t="s">
        <v>459</v>
      </c>
      <c r="N109" s="5" t="str">
        <f>CONCATENATE("UPDATE ",Database_ESP[[#This Row],[Table]]," SET ",Database_ESP[[#This Row],[Column]]," = '",Database_ESP[[#This Row],[POR.XAVI.INICIAL]],"' WHERE LanguageTag = '",Database_ESP[[#This Row],[Tag]],"'")</f>
        <v>UPDATE sysrouserfields SET fieldname = 'Dias de férias anuais' WHERE LanguageTag = 'motivodebaja'</v>
      </c>
      <c r="O109" s="5" t="str">
        <f>CONCATENATE("UPDATE ",Database_ESP[[#This Row],[Table]]," SET ",Database_ESP[[#This Row],[Column]]," = '",Database_ESP[[#This Row],[ESP]],"' WHERE LanguageTag = '",Database_ESP[[#This Row],[Tag]],"'")</f>
        <v>UPDATE sysrouserfields SET fieldname = 'Motivo de baja' WHERE LanguageTag = 'motivodebaja'</v>
      </c>
      <c r="P109" s="5" t="str">
        <f>CONCATENATE("UPDATE ",Database_ESP[[#This Row],[Table]]," SET ",Database_ESP[[#This Row],[Column]]," = '",Database_ESP[[#This Row],[ENG]],"' WHERE LanguageTag = '",Database_ESP[[#This Row],[Tag]],"'")</f>
        <v>UPDATE sysrouserfields SET fieldname = 'Reason for absence' WHERE LanguageTag = 'motivodebaja'</v>
      </c>
      <c r="Q109" s="5" t="str">
        <f>CONCATENATE("UPDATE ",Database_ESP[[#This Row],[Table]]," SET ",Database_ESP[[#This Row],[Column]]," = '",Database_ESP[[#This Row],[FR]],"' WHERE LanguageTag = '",Database_ESP[[#This Row],[Tag]],"'")</f>
        <v>UPDATE sysrouserfields SET fieldname = 'Raison du départ' WHERE LanguageTag = 'motivodebaja'</v>
      </c>
      <c r="R109" s="5" t="str">
        <f>CONCATENATE("UPDATE ",Database_ESP[[#This Row],[Table]]," SET ",Database_ESP[[#This Row],[Column]]," = '",Database_ESP[[#This Row],[IT]],"' WHERE LanguageTag = '",Database_ESP[[#This Row],[Tag]],"'")</f>
        <v>UPDATE sysrouserfields SET fieldname = 'Motivo della partenza' WHERE LanguageTag = 'motivodebaja'</v>
      </c>
      <c r="S109" s="5" t="str">
        <f>CONCATENATE("UPDATE ",Database_ESP[[#This Row],[Table]]," SET ",Database_ESP[[#This Row],[Column]]," = '",Database_ESP[[#This Row],[SK]],"' WHERE LanguageTag = '",Database_ESP[[#This Row],[Tag]],"'")</f>
        <v>UPDATE sysrouserfields SET fieldname = 'Dôvod odchodu' WHERE LanguageTag = 'motivodebaja'</v>
      </c>
    </row>
    <row r="110" spans="1:19" ht="60" x14ac:dyDescent="0.25">
      <c r="A110" s="2" t="s">
        <v>863</v>
      </c>
      <c r="B110" s="2" t="str">
        <f t="shared" si="13"/>
        <v>RES_database_one.sysrouserfields.motivodebaja.listvalues.rotext</v>
      </c>
      <c r="C110" s="2" t="str">
        <f t="shared" si="14"/>
        <v>sysrouserfields</v>
      </c>
      <c r="D110" s="2" t="str">
        <f t="shared" si="15"/>
        <v>motivodebaja</v>
      </c>
      <c r="E110" s="2" t="str">
        <f t="shared" si="16"/>
        <v>listvalues</v>
      </c>
      <c r="F110" s="2" t="str">
        <f t="shared" si="17"/>
        <v>Baja voluntaria~Defunción~Despido~Finalización del contrato temporal~Incapacidad~Invalidez~Jubilación~Por causas convenidas en el contrato</v>
      </c>
      <c r="G110" s="1" t="s">
        <v>104</v>
      </c>
      <c r="H110" s="1" t="s">
        <v>65</v>
      </c>
      <c r="I110" s="1" t="s">
        <v>767</v>
      </c>
      <c r="J110" s="1" t="s">
        <v>586</v>
      </c>
      <c r="K110" s="1" t="s">
        <v>305</v>
      </c>
      <c r="L110" s="1" t="s">
        <v>382</v>
      </c>
      <c r="M110" s="1" t="s">
        <v>460</v>
      </c>
      <c r="N110" s="5" t="str">
        <f>CONCATENATE("UPDATE ",Database_ESP[[#This Row],[Table]]," SET ",Database_ESP[[#This Row],[Column]]," = '",Database_ESP[[#This Row],[POR.XAVI.INICIAL]],"' WHERE LanguageTag = '",Database_ESP[[#This Row],[Tag]],"'")</f>
        <v>UPDATE sysrouserfields SET listvalues = 'Horas' WHERE LanguageTag = 'motivodebaja'</v>
      </c>
      <c r="O110" s="5" t="str">
        <f>CONCATENATE("UPDATE ",Database_ESP[[#This Row],[Table]]," SET ",Database_ESP[[#This Row],[Column]]," = '",Database_ESP[[#This Row],[ESP]],"' WHERE LanguageTag = '",Database_ESP[[#This Row],[Tag]],"'")</f>
        <v>UPDATE sysrouserfields SET listvalues = 'Baja voluntaria~Defunción~Despido~Finalización del contrato temporal~Incapacidad~Invalidez~Jubilación~Por causas convenidas en el contrato' WHERE LanguageTag = 'motivodebaja'</v>
      </c>
      <c r="P110" s="5" t="str">
        <f>CONCATENATE("UPDATE ",Database_ESP[[#This Row],[Table]]," SET ",Database_ESP[[#This Row],[Column]]," = '",Database_ESP[[#This Row],[ENG]],"' WHERE LanguageTag = '",Database_ESP[[#This Row],[Tag]],"'")</f>
        <v>UPDATE sysrouserfields SET listvalues = 'Voluntary resignation~Death~Dismissal~Termination of temporary contract~Incapacity~Disability~Retirement~For reasons agreed in the contract' WHERE LanguageTag = 'motivodebaja'</v>
      </c>
      <c r="Q110" s="5" t="str">
        <f>CONCATENATE("UPDATE ",Database_ESP[[#This Row],[Table]]," SET ",Database_ESP[[#This Row],[Column]]," = '",Database_ESP[[#This Row],[FR]],"' WHERE LanguageTag = '",Database_ESP[[#This Row],[Tag]],"'")</f>
        <v>UPDATE sysrouserfields SET listvalues = 'Congé volontaire~Licenciement~Licenciement~Rupture temporaire du contrat~Invalidité~Retraite~Pour des raisons convenues dans le contrat' WHERE LanguageTag = 'motivodebaja'</v>
      </c>
      <c r="R110" s="5" t="str">
        <f>CONCATENATE("UPDATE ",Database_ESP[[#This Row],[Table]]," SET ",Database_ESP[[#This Row],[Column]]," = '",Database_ESP[[#This Row],[IT]],"' WHERE LanguageTag = '",Database_ESP[[#This Row],[Tag]],"'")</f>
        <v>UPDATE sysrouserfields SET listvalues = 'Congedo volontario~Licenziamento~Licenziamento~Temporanea risoluzione del contratto~Inabilità~Invalidità~Pensionamento~Per motivi concordati nel contratto' WHERE LanguageTag = 'motivodebaja'</v>
      </c>
      <c r="S110" s="5" t="str">
        <f>CONCATENATE("UPDATE ",Database_ESP[[#This Row],[Table]]," SET ",Database_ESP[[#This Row],[Column]]," = '",Database_ESP[[#This Row],[SK]],"' WHERE LanguageTag = '",Database_ESP[[#This Row],[Tag]],"'")</f>
        <v>UPDATE sysrouserfields SET listvalues = 'Dobrovoľná dovolenka~Dobrovoľné prepustenie~Dočasné ukončenie zmluvy~Invalidita~Invalidita~Dôchodok~Z dôvodov dohodnutých v zmluve' WHERE LanguageTag = 'motivodebaja'</v>
      </c>
    </row>
    <row r="111" spans="1:19" ht="60" x14ac:dyDescent="0.25">
      <c r="A111" s="2" t="s">
        <v>508</v>
      </c>
      <c r="B111" s="2" t="str">
        <f t="shared" si="13"/>
        <v>RES_database_one.sysrouserfields.movil.category.rotext</v>
      </c>
      <c r="C111" s="2" t="str">
        <f t="shared" si="14"/>
        <v>sysrouserfields</v>
      </c>
      <c r="D111" s="2" t="str">
        <f t="shared" si="15"/>
        <v>movil</v>
      </c>
      <c r="E111" s="2" t="str">
        <f t="shared" si="16"/>
        <v>category</v>
      </c>
      <c r="F111" s="2" t="str">
        <f t="shared" si="17"/>
        <v>VisualTime</v>
      </c>
      <c r="G111" s="1" t="s">
        <v>40</v>
      </c>
      <c r="H111" s="1" t="s">
        <v>15</v>
      </c>
      <c r="I111" s="1" t="s">
        <v>227</v>
      </c>
      <c r="J111" s="1" t="s">
        <v>40</v>
      </c>
      <c r="K111" s="1" t="s">
        <v>227</v>
      </c>
      <c r="L111" s="1" t="s">
        <v>227</v>
      </c>
      <c r="M111" s="1" t="s">
        <v>227</v>
      </c>
      <c r="N111" s="5" t="str">
        <f>CONCATENATE("UPDATE ",Database_ESP[[#This Row],[Table]]," SET ",Database_ESP[[#This Row],[Column]]," = '",Database_ESP[[#This Row],[POR.XAVI.INICIAL]],"' WHERE LanguageTag = '",Database_ESP[[#This Row],[Tag]],"'")</f>
        <v>UPDATE sysrouserfields SET category = 'Misto (horas+ocorrências)' WHERE LanguageTag = 'movil'</v>
      </c>
      <c r="O111" s="5" t="str">
        <f>CONCATENATE("UPDATE ",Database_ESP[[#This Row],[Table]]," SET ",Database_ESP[[#This Row],[Column]]," = '",Database_ESP[[#This Row],[ESP]],"' WHERE LanguageTag = '",Database_ESP[[#This Row],[Tag]],"'")</f>
        <v>UPDATE sysrouserfields SET category = 'VisualTime' WHERE LanguageTag = 'movil'</v>
      </c>
      <c r="P111" s="5" t="str">
        <f>CONCATENATE("UPDATE ",Database_ESP[[#This Row],[Table]]," SET ",Database_ESP[[#This Row],[Column]]," = '",Database_ESP[[#This Row],[ENG]],"' WHERE LanguageTag = '",Database_ESP[[#This Row],[Tag]],"'")</f>
        <v>UPDATE sysrouserfields SET category = 'VisualTime' WHERE LanguageTag = 'movil'</v>
      </c>
      <c r="Q111" s="5" t="str">
        <f>CONCATENATE("UPDATE ",Database_ESP[[#This Row],[Table]]," SET ",Database_ESP[[#This Row],[Column]]," = '",Database_ESP[[#This Row],[FR]],"' WHERE LanguageTag = '",Database_ESP[[#This Row],[Tag]],"'")</f>
        <v>UPDATE sysrouserfields SET category = 'Visualtime' WHERE LanguageTag = 'movil'</v>
      </c>
      <c r="R111" s="5" t="str">
        <f>CONCATENATE("UPDATE ",Database_ESP[[#This Row],[Table]]," SET ",Database_ESP[[#This Row],[Column]]," = '",Database_ESP[[#This Row],[IT]],"' WHERE LanguageTag = '",Database_ESP[[#This Row],[Tag]],"'")</f>
        <v>UPDATE sysrouserfields SET category = 'Visualtime' WHERE LanguageTag = 'movil'</v>
      </c>
      <c r="S111" s="5" t="str">
        <f>CONCATENATE("UPDATE ",Database_ESP[[#This Row],[Table]]," SET ",Database_ESP[[#This Row],[Column]]," = '",Database_ESP[[#This Row],[SK]],"' WHERE LanguageTag = '",Database_ESP[[#This Row],[Tag]],"'")</f>
        <v>UPDATE sysrouserfields SET category = 'Visualtime' WHERE LanguageTag = 'movil'</v>
      </c>
    </row>
    <row r="112" spans="1:19" ht="30" x14ac:dyDescent="0.25">
      <c r="A112" s="2" t="s">
        <v>864</v>
      </c>
      <c r="B112" s="2" t="str">
        <f t="shared" si="13"/>
        <v>RES_database_one.sysrouserfields.movil.fieldname.rotext</v>
      </c>
      <c r="C112" s="2" t="str">
        <f t="shared" si="14"/>
        <v>sysrouserfields</v>
      </c>
      <c r="D112" s="2" t="str">
        <f t="shared" si="15"/>
        <v>movil</v>
      </c>
      <c r="E112" s="2" t="str">
        <f t="shared" si="16"/>
        <v>fieldname</v>
      </c>
      <c r="F112" s="2" t="str">
        <f t="shared" si="17"/>
        <v>Móvil</v>
      </c>
      <c r="G112" s="1" t="s">
        <v>78</v>
      </c>
      <c r="H112" s="1" t="s">
        <v>14</v>
      </c>
      <c r="I112" s="1" t="s">
        <v>489</v>
      </c>
      <c r="J112" s="1" t="s">
        <v>232</v>
      </c>
      <c r="K112" s="1" t="s">
        <v>306</v>
      </c>
      <c r="L112" s="1" t="s">
        <v>383</v>
      </c>
      <c r="M112" s="1" t="s">
        <v>461</v>
      </c>
      <c r="N112" s="5" t="str">
        <f>CONCATENATE("UPDATE ",Database_ESP[[#This Row],[Table]]," SET ",Database_ESP[[#This Row],[Column]]," = '",Database_ESP[[#This Row],[POR.XAVI.INICIAL]],"' WHERE LanguageTag = '",Database_ESP[[#This Row],[Tag]],"'")</f>
        <v>UPDATE sysrouserfields SET fieldname = 'Ocorrências' WHERE LanguageTag = 'movil'</v>
      </c>
      <c r="O112" s="5" t="str">
        <f>CONCATENATE("UPDATE ",Database_ESP[[#This Row],[Table]]," SET ",Database_ESP[[#This Row],[Column]]," = '",Database_ESP[[#This Row],[ESP]],"' WHERE LanguageTag = '",Database_ESP[[#This Row],[Tag]],"'")</f>
        <v>UPDATE sysrouserfields SET fieldname = 'Móvil' WHERE LanguageTag = 'movil'</v>
      </c>
      <c r="P112" s="5" t="str">
        <f>CONCATENATE("UPDATE ",Database_ESP[[#This Row],[Table]]," SET ",Database_ESP[[#This Row],[Column]]," = '",Database_ESP[[#This Row],[ENG]],"' WHERE LanguageTag = '",Database_ESP[[#This Row],[Tag]],"'")</f>
        <v>UPDATE sysrouserfields SET fieldname = 'Mobile' WHERE LanguageTag = 'movil'</v>
      </c>
      <c r="Q112" s="5" t="str">
        <f>CONCATENATE("UPDATE ",Database_ESP[[#This Row],[Table]]," SET ",Database_ESP[[#This Row],[Column]]," = '",Database_ESP[[#This Row],[FR]],"' WHERE LanguageTag = '",Database_ESP[[#This Row],[Tag]],"'")</f>
        <v>UPDATE sysrouserfields SET fieldname = 'Portable' WHERE LanguageTag = 'movil'</v>
      </c>
      <c r="R112" s="5" t="str">
        <f>CONCATENATE("UPDATE ",Database_ESP[[#This Row],[Table]]," SET ",Database_ESP[[#This Row],[Column]]," = '",Database_ESP[[#This Row],[IT]],"' WHERE LanguageTag = '",Database_ESP[[#This Row],[Tag]],"'")</f>
        <v>UPDATE sysrouserfields SET fieldname = 'Cellulare' WHERE LanguageTag = 'movil'</v>
      </c>
      <c r="S112" s="5" t="str">
        <f>CONCATENATE("UPDATE ",Database_ESP[[#This Row],[Table]]," SET ",Database_ESP[[#This Row],[Column]]," = '",Database_ESP[[#This Row],[SK]],"' WHERE LanguageTag = '",Database_ESP[[#This Row],[Tag]],"'")</f>
        <v>UPDATE sysrouserfields SET fieldname = 'Mobilný portál' WHERE LanguageTag = 'movil'</v>
      </c>
    </row>
    <row r="113" spans="1:19" ht="240" x14ac:dyDescent="0.25">
      <c r="A113" s="2" t="s">
        <v>865</v>
      </c>
      <c r="B113" s="2" t="str">
        <f t="shared" si="13"/>
        <v>RES_database_one.sysrouserfields.nacionalidad.category.rotext</v>
      </c>
      <c r="C113" s="2" t="str">
        <f t="shared" si="14"/>
        <v>sysrouserfields</v>
      </c>
      <c r="D113" s="2" t="str">
        <f t="shared" si="15"/>
        <v>nacionalidad</v>
      </c>
      <c r="E113" s="2" t="str">
        <f t="shared" si="16"/>
        <v>category</v>
      </c>
      <c r="F113" s="2" t="str">
        <f t="shared" si="17"/>
        <v>Personal</v>
      </c>
      <c r="G113" s="1" t="s">
        <v>105</v>
      </c>
      <c r="H113" s="1" t="s">
        <v>207</v>
      </c>
      <c r="I113" s="1" t="s">
        <v>38</v>
      </c>
      <c r="J113" s="1" t="s">
        <v>580</v>
      </c>
      <c r="K113" s="1" t="s">
        <v>230</v>
      </c>
      <c r="L113" s="1" t="s">
        <v>375</v>
      </c>
      <c r="M113" s="1" t="s">
        <v>453</v>
      </c>
      <c r="N113" s="5" t="str">
        <f>CONCATENATE("UPDATE ",Database_ESP[[#This Row],[Table]]," SET ",Database_ESP[[#This Row],[Column]]," = '",Database_ESP[[#This Row],[POR.XAVI.INICIAL]],"' WHERE LanguageTag = '",Database_ESP[[#This Row],[Tag]],"'")</f>
        <v>UPDATE sysrouserfields SET category = 'Verificar quanto resta do recálculo do VisualTime e quantos trabalhadores são afectados.' WHERE LanguageTag = 'nacionalidad'</v>
      </c>
      <c r="O113" s="5" t="str">
        <f>CONCATENATE("UPDATE ",Database_ESP[[#This Row],[Table]]," SET ",Database_ESP[[#This Row],[Column]]," = '",Database_ESP[[#This Row],[ESP]],"' WHERE LanguageTag = '",Database_ESP[[#This Row],[Tag]],"'")</f>
        <v>UPDATE sysrouserfields SET category = 'Personal' WHERE LanguageTag = 'nacionalidad'</v>
      </c>
      <c r="P113" s="5" t="str">
        <f>CONCATENATE("UPDATE ",Database_ESP[[#This Row],[Table]]," SET ",Database_ESP[[#This Row],[Column]]," = '",Database_ESP[[#This Row],[ENG]],"' WHERE LanguageTag = '",Database_ESP[[#This Row],[Tag]],"'")</f>
        <v>UPDATE sysrouserfields SET category = 'Staff' WHERE LanguageTag = 'nacionalidad'</v>
      </c>
      <c r="Q113" s="5" t="str">
        <f>CONCATENATE("UPDATE ",Database_ESP[[#This Row],[Table]]," SET ",Database_ESP[[#This Row],[Column]]," = '",Database_ESP[[#This Row],[FR]],"' WHERE LanguageTag = '",Database_ESP[[#This Row],[Tag]],"'")</f>
        <v>UPDATE sysrouserfields SET category = 'Personnel' WHERE LanguageTag = 'nacionalidad'</v>
      </c>
      <c r="R113" s="5" t="str">
        <f>CONCATENATE("UPDATE ",Database_ESP[[#This Row],[Table]]," SET ",Database_ESP[[#This Row],[Column]]," = '",Database_ESP[[#This Row],[IT]],"' WHERE LanguageTag = '",Database_ESP[[#This Row],[Tag]],"'")</f>
        <v>UPDATE sysrouserfields SET category = 'Personale' WHERE LanguageTag = 'nacionalidad'</v>
      </c>
      <c r="S113" s="5" t="str">
        <f>CONCATENATE("UPDATE ",Database_ESP[[#This Row],[Table]]," SET ",Database_ESP[[#This Row],[Column]]," = '",Database_ESP[[#This Row],[SK]],"' WHERE LanguageTag = '",Database_ESP[[#This Row],[Tag]],"'")</f>
        <v>UPDATE sysrouserfields SET category = 'Zamestnanci' WHERE LanguageTag = 'nacionalidad'</v>
      </c>
    </row>
    <row r="114" spans="1:19" ht="240" x14ac:dyDescent="0.25">
      <c r="A114" s="2" t="s">
        <v>866</v>
      </c>
      <c r="B114" s="2" t="str">
        <f t="shared" si="13"/>
        <v>RES_database_one.sysrouserfields.nacionalidad.fieldname.rotext</v>
      </c>
      <c r="C114" s="2" t="str">
        <f t="shared" si="14"/>
        <v>sysrouserfields</v>
      </c>
      <c r="D114" s="2" t="str">
        <f t="shared" si="15"/>
        <v>nacionalidad</v>
      </c>
      <c r="E114" s="2" t="str">
        <f t="shared" si="16"/>
        <v>fieldname</v>
      </c>
      <c r="F114" s="2" t="str">
        <f t="shared" si="17"/>
        <v>Nacionalidad</v>
      </c>
      <c r="G114" s="1" t="s">
        <v>92</v>
      </c>
      <c r="H114" s="1" t="s">
        <v>176</v>
      </c>
      <c r="I114" s="1" t="s">
        <v>25</v>
      </c>
      <c r="J114" s="1" t="s">
        <v>233</v>
      </c>
      <c r="K114" s="1" t="s">
        <v>307</v>
      </c>
      <c r="L114" s="1" t="s">
        <v>384</v>
      </c>
      <c r="M114" s="1" t="s">
        <v>462</v>
      </c>
      <c r="N114" s="5" t="str">
        <f>CONCATENATE("UPDATE ",Database_ESP[[#This Row],[Table]]," SET ",Database_ESP[[#This Row],[Column]]," = '",Database_ESP[[#This Row],[POR.XAVI.INICIAL]],"' WHERE LanguageTag = '",Database_ESP[[#This Row],[Tag]],"'")</f>
        <v>UPDATE sysrouserfields SET fieldname = 'Verifique quanto resta do recálculo do VisualTime e quantos empregados são afectados.' WHERE LanguageTag = 'nacionalidad'</v>
      </c>
      <c r="O114" s="5" t="str">
        <f>CONCATENATE("UPDATE ",Database_ESP[[#This Row],[Table]]," SET ",Database_ESP[[#This Row],[Column]]," = '",Database_ESP[[#This Row],[ESP]],"' WHERE LanguageTag = '",Database_ESP[[#This Row],[Tag]],"'")</f>
        <v>UPDATE sysrouserfields SET fieldname = 'Nacionalidad' WHERE LanguageTag = 'nacionalidad'</v>
      </c>
      <c r="P114" s="5" t="str">
        <f>CONCATENATE("UPDATE ",Database_ESP[[#This Row],[Table]]," SET ",Database_ESP[[#This Row],[Column]]," = '",Database_ESP[[#This Row],[ENG]],"' WHERE LanguageTag = '",Database_ESP[[#This Row],[Tag]],"'")</f>
        <v>UPDATE sysrouserfields SET fieldname = 'Nationality' WHERE LanguageTag = 'nacionalidad'</v>
      </c>
      <c r="Q114" s="5" t="str">
        <f>CONCATENATE("UPDATE ",Database_ESP[[#This Row],[Table]]," SET ",Database_ESP[[#This Row],[Column]]," = '",Database_ESP[[#This Row],[FR]],"' WHERE LanguageTag = '",Database_ESP[[#This Row],[Tag]],"'")</f>
        <v>UPDATE sysrouserfields SET fieldname = 'Nationalité' WHERE LanguageTag = 'nacionalidad'</v>
      </c>
      <c r="R114" s="5" t="str">
        <f>CONCATENATE("UPDATE ",Database_ESP[[#This Row],[Table]]," SET ",Database_ESP[[#This Row],[Column]]," = '",Database_ESP[[#This Row],[IT]],"' WHERE LanguageTag = '",Database_ESP[[#This Row],[Tag]],"'")</f>
        <v>UPDATE sysrouserfields SET fieldname = 'Nazionalità' WHERE LanguageTag = 'nacionalidad'</v>
      </c>
      <c r="S114" s="5" t="str">
        <f>CONCATENATE("UPDATE ",Database_ESP[[#This Row],[Table]]," SET ",Database_ESP[[#This Row],[Column]]," = '",Database_ESP[[#This Row],[SK]],"' WHERE LanguageTag = '",Database_ESP[[#This Row],[Tag]],"'")</f>
        <v>UPDATE sysrouserfields SET fieldname = 'Štátna príslušnosť' WHERE LanguageTag = 'nacionalidad'</v>
      </c>
    </row>
    <row r="115" spans="1:19" ht="195" x14ac:dyDescent="0.25">
      <c r="A115" s="2" t="s">
        <v>867</v>
      </c>
      <c r="B115" s="2" t="str">
        <f t="shared" si="13"/>
        <v>RES_database_one.sysrouserfields.nif.category.rotext</v>
      </c>
      <c r="C115" s="2" t="str">
        <f t="shared" si="14"/>
        <v>sysrouserfields</v>
      </c>
      <c r="D115" s="2" t="str">
        <f t="shared" si="15"/>
        <v>nif</v>
      </c>
      <c r="E115" s="2" t="str">
        <f t="shared" si="16"/>
        <v>category</v>
      </c>
      <c r="F115" s="2" t="str">
        <f t="shared" si="17"/>
        <v>Personal</v>
      </c>
      <c r="G115" s="1" t="s">
        <v>105</v>
      </c>
      <c r="H115" s="1" t="s">
        <v>20</v>
      </c>
      <c r="I115" s="1" t="s">
        <v>38</v>
      </c>
      <c r="J115" s="1" t="s">
        <v>580</v>
      </c>
      <c r="K115" s="1" t="s">
        <v>230</v>
      </c>
      <c r="L115" s="1" t="s">
        <v>375</v>
      </c>
      <c r="M115" s="1" t="s">
        <v>453</v>
      </c>
      <c r="N115" s="5" t="str">
        <f>CONCATENATE("UPDATE ",Database_ESP[[#This Row],[Table]]," SET ",Database_ESP[[#This Row],[Column]]," = '",Database_ESP[[#This Row],[POR.XAVI.INICIAL]],"' WHERE LanguageTag = '",Database_ESP[[#This Row],[Tag]],"'")</f>
        <v>UPDATE sysrouserfields SET category = 'Verificar o grupo a que pertencem os empregados. Percurso curto e completo' WHERE LanguageTag = 'nif'</v>
      </c>
      <c r="O115" s="5" t="str">
        <f>CONCATENATE("UPDATE ",Database_ESP[[#This Row],[Table]]," SET ",Database_ESP[[#This Row],[Column]]," = '",Database_ESP[[#This Row],[ESP]],"' WHERE LanguageTag = '",Database_ESP[[#This Row],[Tag]],"'")</f>
        <v>UPDATE sysrouserfields SET category = 'Personal' WHERE LanguageTag = 'nif'</v>
      </c>
      <c r="P115" s="5" t="str">
        <f>CONCATENATE("UPDATE ",Database_ESP[[#This Row],[Table]]," SET ",Database_ESP[[#This Row],[Column]]," = '",Database_ESP[[#This Row],[ENG]],"' WHERE LanguageTag = '",Database_ESP[[#This Row],[Tag]],"'")</f>
        <v>UPDATE sysrouserfields SET category = 'Staff' WHERE LanguageTag = 'nif'</v>
      </c>
      <c r="Q115" s="5" t="str">
        <f>CONCATENATE("UPDATE ",Database_ESP[[#This Row],[Table]]," SET ",Database_ESP[[#This Row],[Column]]," = '",Database_ESP[[#This Row],[FR]],"' WHERE LanguageTag = '",Database_ESP[[#This Row],[Tag]],"'")</f>
        <v>UPDATE sysrouserfields SET category = 'Personnel' WHERE LanguageTag = 'nif'</v>
      </c>
      <c r="R115" s="5" t="str">
        <f>CONCATENATE("UPDATE ",Database_ESP[[#This Row],[Table]]," SET ",Database_ESP[[#This Row],[Column]]," = '",Database_ESP[[#This Row],[IT]],"' WHERE LanguageTag = '",Database_ESP[[#This Row],[Tag]],"'")</f>
        <v>UPDATE sysrouserfields SET category = 'Personale' WHERE LanguageTag = 'nif'</v>
      </c>
      <c r="S115" s="5" t="str">
        <f>CONCATENATE("UPDATE ",Database_ESP[[#This Row],[Table]]," SET ",Database_ESP[[#This Row],[Column]]," = '",Database_ESP[[#This Row],[SK]],"' WHERE LanguageTag = '",Database_ESP[[#This Row],[Tag]],"'")</f>
        <v>UPDATE sysrouserfields SET category = 'Zamestnanci' WHERE LanguageTag = 'nif'</v>
      </c>
    </row>
    <row r="116" spans="1:19" ht="195" x14ac:dyDescent="0.25">
      <c r="A116" s="2" t="s">
        <v>509</v>
      </c>
      <c r="B116" s="2" t="str">
        <f t="shared" si="13"/>
        <v>RES_database_one.sysrouserfields.nif.fieldname.rotext</v>
      </c>
      <c r="C116" s="2" t="str">
        <f t="shared" si="14"/>
        <v>sysrouserfields</v>
      </c>
      <c r="D116" s="2" t="str">
        <f t="shared" si="15"/>
        <v>nif</v>
      </c>
      <c r="E116" s="2" t="str">
        <f t="shared" si="16"/>
        <v>fieldname</v>
      </c>
      <c r="F116" s="2" t="str">
        <f t="shared" si="17"/>
        <v>NIF</v>
      </c>
      <c r="G116" s="1" t="s">
        <v>3</v>
      </c>
      <c r="H116" s="1" t="s">
        <v>20</v>
      </c>
      <c r="I116" s="1" t="s">
        <v>3</v>
      </c>
      <c r="J116" s="1" t="s">
        <v>3</v>
      </c>
      <c r="K116" s="1" t="s">
        <v>3</v>
      </c>
      <c r="L116" s="1" t="s">
        <v>385</v>
      </c>
      <c r="M116" s="1" t="s">
        <v>3</v>
      </c>
      <c r="N116" s="5" t="str">
        <f>CONCATENATE("UPDATE ",Database_ESP[[#This Row],[Table]]," SET ",Database_ESP[[#This Row],[Column]]," = '",Database_ESP[[#This Row],[POR.XAVI.INICIAL]],"' WHERE LanguageTag = '",Database_ESP[[#This Row],[Tag]],"'")</f>
        <v>UPDATE sysrouserfields SET fieldname = 'Verificar o grupo a que pertencem os empregados. Percurso curto e completo' WHERE LanguageTag = 'nif'</v>
      </c>
      <c r="O116" s="5" t="str">
        <f>CONCATENATE("UPDATE ",Database_ESP[[#This Row],[Table]]," SET ",Database_ESP[[#This Row],[Column]]," = '",Database_ESP[[#This Row],[ESP]],"' WHERE LanguageTag = '",Database_ESP[[#This Row],[Tag]],"'")</f>
        <v>UPDATE sysrouserfields SET fieldname = 'NIF' WHERE LanguageTag = 'nif'</v>
      </c>
      <c r="P116" s="5" t="str">
        <f>CONCATENATE("UPDATE ",Database_ESP[[#This Row],[Table]]," SET ",Database_ESP[[#This Row],[Column]]," = '",Database_ESP[[#This Row],[ENG]],"' WHERE LanguageTag = '",Database_ESP[[#This Row],[Tag]],"'")</f>
        <v>UPDATE sysrouserfields SET fieldname = 'NIF' WHERE LanguageTag = 'nif'</v>
      </c>
      <c r="Q116" s="5" t="str">
        <f>CONCATENATE("UPDATE ",Database_ESP[[#This Row],[Table]]," SET ",Database_ESP[[#This Row],[Column]]," = '",Database_ESP[[#This Row],[FR]],"' WHERE LanguageTag = '",Database_ESP[[#This Row],[Tag]],"'")</f>
        <v>UPDATE sysrouserfields SET fieldname = 'NIF' WHERE LanguageTag = 'nif'</v>
      </c>
      <c r="R116" s="5" t="str">
        <f>CONCATENATE("UPDATE ",Database_ESP[[#This Row],[Table]]," SET ",Database_ESP[[#This Row],[Column]]," = '",Database_ESP[[#This Row],[IT]],"' WHERE LanguageTag = '",Database_ESP[[#This Row],[Tag]],"'")</f>
        <v>UPDATE sysrouserfields SET fieldname = 'CF' WHERE LanguageTag = 'nif'</v>
      </c>
      <c r="S116" s="5" t="str">
        <f>CONCATENATE("UPDATE ",Database_ESP[[#This Row],[Table]]," SET ",Database_ESP[[#This Row],[Column]]," = '",Database_ESP[[#This Row],[SK]],"' WHERE LanguageTag = '",Database_ESP[[#This Row],[Tag]],"'")</f>
        <v>UPDATE sysrouserfields SET fieldname = 'NIF' WHERE LanguageTag = 'nif'</v>
      </c>
    </row>
    <row r="117" spans="1:19" ht="210" x14ac:dyDescent="0.25">
      <c r="A117" s="2" t="s">
        <v>510</v>
      </c>
      <c r="B117" s="2" t="str">
        <f t="shared" si="13"/>
        <v>RES_database_one.sysrouserfields.numerodeemergencia.category.rotext</v>
      </c>
      <c r="C117" s="2" t="str">
        <f t="shared" si="14"/>
        <v>sysrouserfields</v>
      </c>
      <c r="D117" s="2" t="str">
        <f t="shared" si="15"/>
        <v>numerodeemergencia</v>
      </c>
      <c r="E117" s="2" t="str">
        <f t="shared" si="16"/>
        <v>category</v>
      </c>
      <c r="F117" s="2" t="str">
        <f t="shared" si="17"/>
        <v>VisualTime</v>
      </c>
      <c r="G117" s="1" t="s">
        <v>40</v>
      </c>
      <c r="H117" s="1" t="s">
        <v>208</v>
      </c>
      <c r="I117" s="1" t="s">
        <v>227</v>
      </c>
      <c r="J117" s="1" t="s">
        <v>40</v>
      </c>
      <c r="K117" s="1" t="s">
        <v>227</v>
      </c>
      <c r="L117" s="1" t="s">
        <v>227</v>
      </c>
      <c r="M117" s="1" t="s">
        <v>227</v>
      </c>
      <c r="N117" s="5" t="str">
        <f>CONCATENATE("UPDATE ",Database_ESP[[#This Row],[Table]]," SET ",Database_ESP[[#This Row],[Column]]," = '",Database_ESP[[#This Row],[POR.XAVI.INICIAL]],"' WHERE LanguageTag = '",Database_ESP[[#This Row],[Tag]],"'")</f>
        <v>UPDATE sysrouserfields SET category = 'Verificar se existe alguma tarefa que não tenha podido ser executada normalmente.' WHERE LanguageTag = 'numerodeemergencia'</v>
      </c>
      <c r="O117" s="5" t="str">
        <f>CONCATENATE("UPDATE ",Database_ESP[[#This Row],[Table]]," SET ",Database_ESP[[#This Row],[Column]]," = '",Database_ESP[[#This Row],[ESP]],"' WHERE LanguageTag = '",Database_ESP[[#This Row],[Tag]],"'")</f>
        <v>UPDATE sysrouserfields SET category = 'VisualTime' WHERE LanguageTag = 'numerodeemergencia'</v>
      </c>
      <c r="P117" s="5" t="str">
        <f>CONCATENATE("UPDATE ",Database_ESP[[#This Row],[Table]]," SET ",Database_ESP[[#This Row],[Column]]," = '",Database_ESP[[#This Row],[ENG]],"' WHERE LanguageTag = '",Database_ESP[[#This Row],[Tag]],"'")</f>
        <v>UPDATE sysrouserfields SET category = 'VisualTime' WHERE LanguageTag = 'numerodeemergencia'</v>
      </c>
      <c r="Q117" s="5" t="str">
        <f>CONCATENATE("UPDATE ",Database_ESP[[#This Row],[Table]]," SET ",Database_ESP[[#This Row],[Column]]," = '",Database_ESP[[#This Row],[FR]],"' WHERE LanguageTag = '",Database_ESP[[#This Row],[Tag]],"'")</f>
        <v>UPDATE sysrouserfields SET category = 'Visualtime' WHERE LanguageTag = 'numerodeemergencia'</v>
      </c>
      <c r="R117" s="5" t="str">
        <f>CONCATENATE("UPDATE ",Database_ESP[[#This Row],[Table]]," SET ",Database_ESP[[#This Row],[Column]]," = '",Database_ESP[[#This Row],[IT]],"' WHERE LanguageTag = '",Database_ESP[[#This Row],[Tag]],"'")</f>
        <v>UPDATE sysrouserfields SET category = 'Visualtime' WHERE LanguageTag = 'numerodeemergencia'</v>
      </c>
      <c r="S117" s="5" t="str">
        <f>CONCATENATE("UPDATE ",Database_ESP[[#This Row],[Table]]," SET ",Database_ESP[[#This Row],[Column]]," = '",Database_ESP[[#This Row],[SK]],"' WHERE LanguageTag = '",Database_ESP[[#This Row],[Tag]],"'")</f>
        <v>UPDATE sysrouserfields SET category = 'Visualtime' WHERE LanguageTag = 'numerodeemergencia'</v>
      </c>
    </row>
    <row r="118" spans="1:19" ht="180" x14ac:dyDescent="0.25">
      <c r="A118" s="2" t="s">
        <v>868</v>
      </c>
      <c r="B118" s="2" t="str">
        <f t="shared" si="13"/>
        <v>RES_database_one.sysrouserfields.numerodeemergencia.fieldname.rotext</v>
      </c>
      <c r="C118" s="2" t="str">
        <f t="shared" si="14"/>
        <v>sysrouserfields</v>
      </c>
      <c r="D118" s="2" t="str">
        <f t="shared" si="15"/>
        <v>numerodeemergencia</v>
      </c>
      <c r="E118" s="2" t="str">
        <f t="shared" si="16"/>
        <v>fieldname</v>
      </c>
      <c r="F118" s="2" t="str">
        <f t="shared" si="17"/>
        <v>Número de emergencia</v>
      </c>
      <c r="G118" s="1" t="s">
        <v>90</v>
      </c>
      <c r="H118" s="1" t="s">
        <v>209</v>
      </c>
      <c r="I118" s="1" t="s">
        <v>23</v>
      </c>
      <c r="J118" s="1" t="s">
        <v>234</v>
      </c>
      <c r="K118" s="1" t="s">
        <v>308</v>
      </c>
      <c r="L118" s="1" t="s">
        <v>386</v>
      </c>
      <c r="M118" s="1" t="s">
        <v>463</v>
      </c>
      <c r="N118" s="5" t="str">
        <f>CONCATENATE("UPDATE ",Database_ESP[[#This Row],[Table]]," SET ",Database_ESP[[#This Row],[Column]]," = '",Database_ESP[[#This Row],[POR.XAVI.INICIAL]],"' WHERE LanguageTag = '",Database_ESP[[#This Row],[Tag]],"'")</f>
        <v>UPDATE sysrouserfields SET fieldname = 'Verificar se existem tarefas que não puderam ser executadas normalmente.' WHERE LanguageTag = 'numerodeemergencia'</v>
      </c>
      <c r="O118" s="5" t="str">
        <f>CONCATENATE("UPDATE ",Database_ESP[[#This Row],[Table]]," SET ",Database_ESP[[#This Row],[Column]]," = '",Database_ESP[[#This Row],[ESP]],"' WHERE LanguageTag = '",Database_ESP[[#This Row],[Tag]],"'")</f>
        <v>UPDATE sysrouserfields SET fieldname = 'Número de emergencia' WHERE LanguageTag = 'numerodeemergencia'</v>
      </c>
      <c r="P118" s="5" t="str">
        <f>CONCATENATE("UPDATE ",Database_ESP[[#This Row],[Table]]," SET ",Database_ESP[[#This Row],[Column]]," = '",Database_ESP[[#This Row],[ENG]],"' WHERE LanguageTag = '",Database_ESP[[#This Row],[Tag]],"'")</f>
        <v>UPDATE sysrouserfields SET fieldname = 'Emergency number' WHERE LanguageTag = 'numerodeemergencia'</v>
      </c>
      <c r="Q118" s="5" t="str">
        <f>CONCATENATE("UPDATE ",Database_ESP[[#This Row],[Table]]," SET ",Database_ESP[[#This Row],[Column]]," = '",Database_ESP[[#This Row],[FR]],"' WHERE LanguageTag = '",Database_ESP[[#This Row],[Tag]],"'")</f>
        <v>UPDATE sysrouserfields SET fieldname = 'Numéro d´urgence' WHERE LanguageTag = 'numerodeemergencia'</v>
      </c>
      <c r="R118" s="5" t="str">
        <f>CONCATENATE("UPDATE ",Database_ESP[[#This Row],[Table]]," SET ",Database_ESP[[#This Row],[Column]]," = '",Database_ESP[[#This Row],[IT]],"' WHERE LanguageTag = '",Database_ESP[[#This Row],[Tag]],"'")</f>
        <v>UPDATE sysrouserfields SET fieldname = 'Numero di emergenza' WHERE LanguageTag = 'numerodeemergencia'</v>
      </c>
      <c r="S118" s="5" t="str">
        <f>CONCATENATE("UPDATE ",Database_ESP[[#This Row],[Table]]," SET ",Database_ESP[[#This Row],[Column]]," = '",Database_ESP[[#This Row],[SK]],"' WHERE LanguageTag = '",Database_ESP[[#This Row],[Tag]],"'")</f>
        <v>UPDATE sysrouserfields SET fieldname = 'Núdzové číslo' WHERE LanguageTag = 'numerodeemergencia'</v>
      </c>
    </row>
    <row r="119" spans="1:19" ht="240" x14ac:dyDescent="0.25">
      <c r="A119" s="2" t="s">
        <v>698</v>
      </c>
      <c r="B119" s="2" t="str">
        <f t="shared" si="13"/>
        <v>RES_database_one.sysrouserfields.observaciones.category.rotext</v>
      </c>
      <c r="C119" s="2" t="str">
        <f t="shared" si="14"/>
        <v>sysrouserfields</v>
      </c>
      <c r="D119" s="2" t="str">
        <f t="shared" si="15"/>
        <v>observaciones</v>
      </c>
      <c r="E119" s="2" t="str">
        <f t="shared" si="16"/>
        <v>category</v>
      </c>
      <c r="F119" s="2" t="str">
        <f t="shared" si="17"/>
        <v>Laboral</v>
      </c>
      <c r="G119" s="1" t="s">
        <v>106</v>
      </c>
      <c r="H119" s="1" t="s">
        <v>19</v>
      </c>
      <c r="I119" s="1" t="s">
        <v>106</v>
      </c>
      <c r="J119" s="1" t="s">
        <v>576</v>
      </c>
      <c r="K119" s="1" t="s">
        <v>291</v>
      </c>
      <c r="L119" s="1" t="s">
        <v>367</v>
      </c>
      <c r="M119" s="1" t="s">
        <v>445</v>
      </c>
      <c r="N119" s="5" t="str">
        <f>CONCATENATE("UPDATE ",Database_ESP[[#This Row],[Table]]," SET ",Database_ESP[[#This Row],[Column]]," = '",Database_ESP[[#This Row],[POR.XAVI.INICIAL]],"' WHERE LanguageTag = '",Database_ESP[[#This Row],[Tag]],"'")</f>
        <v>UPDATE sysrouserfields SET category = 'Verificar se o recálculo após as alterações efectuadas no VisualTime está a funcionar corretamente.' WHERE LanguageTag = 'observaciones'</v>
      </c>
      <c r="O119" s="5" t="str">
        <f>CONCATENATE("UPDATE ",Database_ESP[[#This Row],[Table]]," SET ",Database_ESP[[#This Row],[Column]]," = '",Database_ESP[[#This Row],[ESP]],"' WHERE LanguageTag = '",Database_ESP[[#This Row],[Tag]],"'")</f>
        <v>UPDATE sysrouserfields SET category = 'Laboral' WHERE LanguageTag = 'observaciones'</v>
      </c>
      <c r="P119" s="5" t="str">
        <f>CONCATENATE("UPDATE ",Database_ESP[[#This Row],[Table]]," SET ",Database_ESP[[#This Row],[Column]]," = '",Database_ESP[[#This Row],[ENG]],"' WHERE LanguageTag = '",Database_ESP[[#This Row],[Tag]],"'")</f>
        <v>UPDATE sysrouserfields SET category = 'Labor' WHERE LanguageTag = 'observaciones'</v>
      </c>
      <c r="Q119" s="5" t="str">
        <f>CONCATENATE("UPDATE ",Database_ESP[[#This Row],[Table]]," SET ",Database_ESP[[#This Row],[Column]]," = '",Database_ESP[[#This Row],[FR]],"' WHERE LanguageTag = '",Database_ESP[[#This Row],[Tag]],"'")</f>
        <v>UPDATE sysrouserfields SET category = 'Professionnel' WHERE LanguageTag = 'observaciones'</v>
      </c>
      <c r="R119" s="5" t="str">
        <f>CONCATENATE("UPDATE ",Database_ESP[[#This Row],[Table]]," SET ",Database_ESP[[#This Row],[Column]]," = '",Database_ESP[[#This Row],[IT]],"' WHERE LanguageTag = '",Database_ESP[[#This Row],[Tag]],"'")</f>
        <v>UPDATE sysrouserfields SET category = 'Lavorativo' WHERE LanguageTag = 'observaciones'</v>
      </c>
      <c r="S119" s="5" t="str">
        <f>CONCATENATE("UPDATE ",Database_ESP[[#This Row],[Table]]," SET ",Database_ESP[[#This Row],[Column]]," = '",Database_ESP[[#This Row],[SK]],"' WHERE LanguageTag = '",Database_ESP[[#This Row],[Tag]],"'")</f>
        <v>UPDATE sysrouserfields SET category = 'Práca' WHERE LanguageTag = 'observaciones'</v>
      </c>
    </row>
    <row r="120" spans="1:19" ht="240" x14ac:dyDescent="0.25">
      <c r="A120" s="2" t="s">
        <v>869</v>
      </c>
      <c r="B120" s="2" t="str">
        <f t="shared" si="13"/>
        <v>RES_database_one.sysrouserfields.observaciones.fieldname.rotext</v>
      </c>
      <c r="C120" s="2" t="str">
        <f t="shared" ref="C120:C141" si="18">MID(B120, FIND(".", B120) + 1, FIND(".", B120, FIND(".", B120) + 1) - FIND(".", B120) - 1)</f>
        <v>sysrouserfields</v>
      </c>
      <c r="D120" s="2" t="str">
        <f t="shared" ref="D120:D141" si="19">MID(B120, FIND(".", B120, FIND(".", B120) + 1) + 1, FIND(".", B120, FIND(".", B120, FIND(".", B120) + 1) + 1) - FIND(".", B120, FIND(".", B120) + 1) - 1)</f>
        <v>observaciones</v>
      </c>
      <c r="E120" s="2" t="str">
        <f t="shared" ref="E120:E141" si="20">MID(B120, FIND(".", B120, FIND(".", B120, FIND(".", B120) + 1) + 1) + 1, FIND(".", B120, FIND(".", B120, FIND(".", B120, FIND(".", B120) + 1) + 1) + 1) - FIND(".", B120, FIND(".", B120, FIND(".", B120) + 1) + 1) - 1)</f>
        <v>fieldname</v>
      </c>
      <c r="F120" s="2" t="str">
        <f t="shared" si="17"/>
        <v>Observaciones</v>
      </c>
      <c r="G120" s="1" t="s">
        <v>98</v>
      </c>
      <c r="H120" s="1" t="s">
        <v>19</v>
      </c>
      <c r="I120" s="1" t="s">
        <v>27</v>
      </c>
      <c r="J120" s="1" t="s">
        <v>235</v>
      </c>
      <c r="K120" s="1" t="s">
        <v>309</v>
      </c>
      <c r="L120" s="1" t="s">
        <v>387</v>
      </c>
      <c r="M120" s="1" t="s">
        <v>464</v>
      </c>
      <c r="N120" s="5" t="str">
        <f>CONCATENATE("UPDATE ",Database_ESP[[#This Row],[Table]]," SET ",Database_ESP[[#This Row],[Column]]," = '",Database_ESP[[#This Row],[POR.XAVI.INICIAL]],"' WHERE LanguageTag = '",Database_ESP[[#This Row],[Tag]],"'")</f>
        <v>UPDATE sysrouserfields SET fieldname = 'Verificar se o recálculo após as alterações efectuadas no VisualTime está a funcionar corretamente.' WHERE LanguageTag = 'observaciones'</v>
      </c>
      <c r="O120" s="5" t="str">
        <f>CONCATENATE("UPDATE ",Database_ESP[[#This Row],[Table]]," SET ",Database_ESP[[#This Row],[Column]]," = '",Database_ESP[[#This Row],[ESP]],"' WHERE LanguageTag = '",Database_ESP[[#This Row],[Tag]],"'")</f>
        <v>UPDATE sysrouserfields SET fieldname = 'Observaciones' WHERE LanguageTag = 'observaciones'</v>
      </c>
      <c r="P120" s="5" t="str">
        <f>CONCATENATE("UPDATE ",Database_ESP[[#This Row],[Table]]," SET ",Database_ESP[[#This Row],[Column]]," = '",Database_ESP[[#This Row],[ENG]],"' WHERE LanguageTag = '",Database_ESP[[#This Row],[Tag]],"'")</f>
        <v>UPDATE sysrouserfields SET fieldname = 'Observations' WHERE LanguageTag = 'observaciones'</v>
      </c>
      <c r="Q120" s="5" t="str">
        <f>CONCATENATE("UPDATE ",Database_ESP[[#This Row],[Table]]," SET ",Database_ESP[[#This Row],[Column]]," = '",Database_ESP[[#This Row],[FR]],"' WHERE LanguageTag = '",Database_ESP[[#This Row],[Tag]],"'")</f>
        <v>UPDATE sysrouserfields SET fieldname = 'Remarques' WHERE LanguageTag = 'observaciones'</v>
      </c>
      <c r="R120" s="5" t="str">
        <f>CONCATENATE("UPDATE ",Database_ESP[[#This Row],[Table]]," SET ",Database_ESP[[#This Row],[Column]]," = '",Database_ESP[[#This Row],[IT]],"' WHERE LanguageTag = '",Database_ESP[[#This Row],[Tag]],"'")</f>
        <v>UPDATE sysrouserfields SET fieldname = 'Osservazioni' WHERE LanguageTag = 'observaciones'</v>
      </c>
      <c r="S120" s="5" t="str">
        <f>CONCATENATE("UPDATE ",Database_ESP[[#This Row],[Table]]," SET ",Database_ESP[[#This Row],[Column]]," = '",Database_ESP[[#This Row],[SK]],"' WHERE LanguageTag = '",Database_ESP[[#This Row],[Tag]],"'")</f>
        <v>UPDATE sysrouserfields SET fieldname = 'Poznámky' WHERE LanguageTag = 'observaciones'</v>
      </c>
    </row>
    <row r="121" spans="1:19" ht="345" x14ac:dyDescent="0.25">
      <c r="A121" s="2" t="s">
        <v>699</v>
      </c>
      <c r="B121" s="2" t="str">
        <f t="shared" si="13"/>
        <v>RES_database_one.sysrouserfields.percepcionesextrasalariales.category.rotext</v>
      </c>
      <c r="C121" s="2" t="str">
        <f t="shared" si="18"/>
        <v>sysrouserfields</v>
      </c>
      <c r="D121" s="2" t="str">
        <f t="shared" si="19"/>
        <v>percepcionesextrasalariales</v>
      </c>
      <c r="E121" s="2" t="str">
        <f t="shared" si="20"/>
        <v>category</v>
      </c>
      <c r="F121" s="2" t="str">
        <f t="shared" si="17"/>
        <v>Laboral</v>
      </c>
      <c r="G121" s="1" t="s">
        <v>106</v>
      </c>
      <c r="H121" s="1" t="s">
        <v>177</v>
      </c>
      <c r="I121" s="1" t="s">
        <v>106</v>
      </c>
      <c r="J121" s="1" t="s">
        <v>576</v>
      </c>
      <c r="K121" s="1" t="s">
        <v>291</v>
      </c>
      <c r="L121" s="1" t="s">
        <v>367</v>
      </c>
      <c r="M121" s="1" t="s">
        <v>445</v>
      </c>
      <c r="N121" s="5" t="str">
        <f>CONCATENATE("UPDATE ",Database_ESP[[#This Row],[Table]]," SET ",Database_ESP[[#This Row],[Column]]," = '",Database_ESP[[#This Row],[POR.XAVI.INICIAL]],"' WHERE LanguageTag = '",Database_ESP[[#This Row],[Tag]],"'")</f>
        <v>UPDATE sysrouserfields SET category = 'Mostra as permissões dos diferentes supervisores nos pedidos pendentes, incluindo se o supervisor é ou não direto para cada pedido.' WHERE LanguageTag = 'percepcionesextrasalariales'</v>
      </c>
      <c r="O121" s="5" t="str">
        <f>CONCATENATE("UPDATE ",Database_ESP[[#This Row],[Table]]," SET ",Database_ESP[[#This Row],[Column]]," = '",Database_ESP[[#This Row],[ESP]],"' WHERE LanguageTag = '",Database_ESP[[#This Row],[Tag]],"'")</f>
        <v>UPDATE sysrouserfields SET category = 'Laboral' WHERE LanguageTag = 'percepcionesextrasalariales'</v>
      </c>
      <c r="P121" s="5" t="str">
        <f>CONCATENATE("UPDATE ",Database_ESP[[#This Row],[Table]]," SET ",Database_ESP[[#This Row],[Column]]," = '",Database_ESP[[#This Row],[ENG]],"' WHERE LanguageTag = '",Database_ESP[[#This Row],[Tag]],"'")</f>
        <v>UPDATE sysrouserfields SET category = 'Labor' WHERE LanguageTag = 'percepcionesextrasalariales'</v>
      </c>
      <c r="Q121" s="5" t="str">
        <f>CONCATENATE("UPDATE ",Database_ESP[[#This Row],[Table]]," SET ",Database_ESP[[#This Row],[Column]]," = '",Database_ESP[[#This Row],[FR]],"' WHERE LanguageTag = '",Database_ESP[[#This Row],[Tag]],"'")</f>
        <v>UPDATE sysrouserfields SET category = 'Professionnel' WHERE LanguageTag = 'percepcionesextrasalariales'</v>
      </c>
      <c r="R121" s="5" t="str">
        <f>CONCATENATE("UPDATE ",Database_ESP[[#This Row],[Table]]," SET ",Database_ESP[[#This Row],[Column]]," = '",Database_ESP[[#This Row],[IT]],"' WHERE LanguageTag = '",Database_ESP[[#This Row],[Tag]],"'")</f>
        <v>UPDATE sysrouserfields SET category = 'Lavorativo' WHERE LanguageTag = 'percepcionesextrasalariales'</v>
      </c>
      <c r="S121" s="5" t="str">
        <f>CONCATENATE("UPDATE ",Database_ESP[[#This Row],[Table]]," SET ",Database_ESP[[#This Row],[Column]]," = '",Database_ESP[[#This Row],[SK]],"' WHERE LanguageTag = '",Database_ESP[[#This Row],[Tag]],"'")</f>
        <v>UPDATE sysrouserfields SET category = 'Práca' WHERE LanguageTag = 'percepcionesextrasalariales'</v>
      </c>
    </row>
    <row r="122" spans="1:19" ht="105" x14ac:dyDescent="0.25">
      <c r="A122" s="2" t="s">
        <v>870</v>
      </c>
      <c r="B122" s="2" t="str">
        <f t="shared" si="13"/>
        <v>RES_database_one.sysrouserfields.percepcionesextrasalariales.fieldname.rotext</v>
      </c>
      <c r="C122" s="2" t="str">
        <f t="shared" si="18"/>
        <v>sysrouserfields</v>
      </c>
      <c r="D122" s="2" t="str">
        <f t="shared" si="19"/>
        <v>percepcionesextrasalariales</v>
      </c>
      <c r="E122" s="2" t="str">
        <f t="shared" si="20"/>
        <v>fieldname</v>
      </c>
      <c r="F122" s="2" t="str">
        <f t="shared" si="17"/>
        <v>Percepciones extrasalariales</v>
      </c>
      <c r="G122" s="1" t="s">
        <v>88</v>
      </c>
      <c r="H122" s="1" t="s">
        <v>178</v>
      </c>
      <c r="I122" s="1" t="s">
        <v>490</v>
      </c>
      <c r="J122" s="1" t="s">
        <v>587</v>
      </c>
      <c r="K122" s="1" t="s">
        <v>310</v>
      </c>
      <c r="L122" s="1" t="s">
        <v>388</v>
      </c>
      <c r="M122" s="1" t="s">
        <v>465</v>
      </c>
      <c r="N122" s="5" t="str">
        <f>CONCATENATE("UPDATE ",Database_ESP[[#This Row],[Table]]," SET ",Database_ESP[[#This Row],[Column]]," = '",Database_ESP[[#This Row],[POR.XAVI.INICIAL]],"' WHERE LanguageTag = '",Database_ESP[[#This Row],[Tag]],"'")</f>
        <v>UPDATE sysrouserfields SET fieldname = 'Permissões nos pedidos pendentes' WHERE LanguageTag = 'percepcionesextrasalariales'</v>
      </c>
      <c r="O122" s="5" t="str">
        <f>CONCATENATE("UPDATE ",Database_ESP[[#This Row],[Table]]," SET ",Database_ESP[[#This Row],[Column]]," = '",Database_ESP[[#This Row],[ESP]],"' WHERE LanguageTag = '",Database_ESP[[#This Row],[Tag]],"'")</f>
        <v>UPDATE sysrouserfields SET fieldname = 'Percepciones extrasalariales' WHERE LanguageTag = 'percepcionesextrasalariales'</v>
      </c>
      <c r="P122" s="5" t="str">
        <f>CONCATENATE("UPDATE ",Database_ESP[[#This Row],[Table]]," SET ",Database_ESP[[#This Row],[Column]]," = '",Database_ESP[[#This Row],[ENG]],"' WHERE LanguageTag = '",Database_ESP[[#This Row],[Tag]],"'")</f>
        <v>UPDATE sysrouserfields SET fieldname = 'Extra-salary perceptions' WHERE LanguageTag = 'percepcionesextrasalariales'</v>
      </c>
      <c r="Q122" s="5" t="str">
        <f>CONCATENATE("UPDATE ",Database_ESP[[#This Row],[Table]]," SET ",Database_ESP[[#This Row],[Column]]," = '",Database_ESP[[#This Row],[FR]],"' WHERE LanguageTag = '",Database_ESP[[#This Row],[Tag]],"'")</f>
        <v>UPDATE sysrouserfields SET fieldname = 'Revenus non-salariaux' WHERE LanguageTag = 'percepcionesextrasalariales'</v>
      </c>
      <c r="R122" s="5" t="str">
        <f>CONCATENATE("UPDATE ",Database_ESP[[#This Row],[Table]]," SET ",Database_ESP[[#This Row],[Column]]," = '",Database_ESP[[#This Row],[IT]],"' WHERE LanguageTag = '",Database_ESP[[#This Row],[Tag]],"'")</f>
        <v>UPDATE sysrouserfields SET fieldname = 'Riscossioni extrasalariali' WHERE LanguageTag = 'percepcionesextrasalariales'</v>
      </c>
      <c r="S122" s="5" t="str">
        <f>CONCATENATE("UPDATE ",Database_ESP[[#This Row],[Table]]," SET ",Database_ESP[[#This Row],[Column]]," = '",Database_ESP[[#This Row],[SK]],"' WHERE LanguageTag = '",Database_ESP[[#This Row],[Tag]],"'")</f>
        <v>UPDATE sysrouserfields SET fieldname = 'Platby mimo mzdy' WHERE LanguageTag = 'percepcionesextrasalariales'</v>
      </c>
    </row>
    <row r="123" spans="1:19" ht="210" x14ac:dyDescent="0.25">
      <c r="A123" s="2" t="s">
        <v>700</v>
      </c>
      <c r="B123" s="2" t="str">
        <f t="shared" si="13"/>
        <v>RES_database_one.sysrouserfields.percepcionesporextraordinariasycomplementarias.category.rotext</v>
      </c>
      <c r="C123" s="2" t="str">
        <f t="shared" si="18"/>
        <v>sysrouserfields</v>
      </c>
      <c r="D123" s="2" t="str">
        <f t="shared" si="19"/>
        <v>percepcionesporextraordinariasycomplementarias</v>
      </c>
      <c r="E123" s="2" t="str">
        <f t="shared" si="20"/>
        <v>category</v>
      </c>
      <c r="F123" s="2" t="str">
        <f t="shared" si="17"/>
        <v>Laboral</v>
      </c>
      <c r="G123" s="1" t="s">
        <v>106</v>
      </c>
      <c r="H123" s="1" t="s">
        <v>18</v>
      </c>
      <c r="I123" s="1" t="s">
        <v>106</v>
      </c>
      <c r="J123" s="1" t="s">
        <v>576</v>
      </c>
      <c r="K123" s="1" t="s">
        <v>291</v>
      </c>
      <c r="L123" s="1" t="s">
        <v>367</v>
      </c>
      <c r="M123" s="1" t="s">
        <v>445</v>
      </c>
      <c r="N123" s="5" t="str">
        <f>CONCATENATE("UPDATE ",Database_ESP[[#This Row],[Table]]," SET ",Database_ESP[[#This Row],[Column]]," = '",Database_ESP[[#This Row],[POR.XAVI.INICIAL]],"' WHERE LanguageTag = '",Database_ESP[[#This Row],[Tag]],"'")</f>
        <v>UPDATE sysrouserfields SET category = 'Saber se o ficheiro de correlação está corretamente introduzido na base de dados.' WHERE LanguageTag = 'percepcionesporextraordinariasycomplementarias'</v>
      </c>
      <c r="O123" s="5" t="str">
        <f>CONCATENATE("UPDATE ",Database_ESP[[#This Row],[Table]]," SET ",Database_ESP[[#This Row],[Column]]," = '",Database_ESP[[#This Row],[ESP]],"' WHERE LanguageTag = '",Database_ESP[[#This Row],[Tag]],"'")</f>
        <v>UPDATE sysrouserfields SET category = 'Laboral' WHERE LanguageTag = 'percepcionesporextraordinariasycomplementarias'</v>
      </c>
      <c r="P123" s="5" t="str">
        <f>CONCATENATE("UPDATE ",Database_ESP[[#This Row],[Table]]," SET ",Database_ESP[[#This Row],[Column]]," = '",Database_ESP[[#This Row],[ENG]],"' WHERE LanguageTag = '",Database_ESP[[#This Row],[Tag]],"'")</f>
        <v>UPDATE sysrouserfields SET category = 'Labor' WHERE LanguageTag = 'percepcionesporextraordinariasycomplementarias'</v>
      </c>
      <c r="Q123" s="5" t="str">
        <f>CONCATENATE("UPDATE ",Database_ESP[[#This Row],[Table]]," SET ",Database_ESP[[#This Row],[Column]]," = '",Database_ESP[[#This Row],[FR]],"' WHERE LanguageTag = '",Database_ESP[[#This Row],[Tag]],"'")</f>
        <v>UPDATE sysrouserfields SET category = 'Professionnel' WHERE LanguageTag = 'percepcionesporextraordinariasycomplementarias'</v>
      </c>
      <c r="R123" s="5" t="str">
        <f>CONCATENATE("UPDATE ",Database_ESP[[#This Row],[Table]]," SET ",Database_ESP[[#This Row],[Column]]," = '",Database_ESP[[#This Row],[IT]],"' WHERE LanguageTag = '",Database_ESP[[#This Row],[Tag]],"'")</f>
        <v>UPDATE sysrouserfields SET category = 'Lavorativo' WHERE LanguageTag = 'percepcionesporextraordinariasycomplementarias'</v>
      </c>
      <c r="S123" s="5" t="str">
        <f>CONCATENATE("UPDATE ",Database_ESP[[#This Row],[Table]]," SET ",Database_ESP[[#This Row],[Column]]," = '",Database_ESP[[#This Row],[SK]],"' WHERE LanguageTag = '",Database_ESP[[#This Row],[Tag]],"'")</f>
        <v>UPDATE sysrouserfields SET category = 'Práca' WHERE LanguageTag = 'percepcionesporextraordinariasycomplementarias'</v>
      </c>
    </row>
    <row r="124" spans="1:19" ht="210" x14ac:dyDescent="0.25">
      <c r="A124" s="2" t="s">
        <v>871</v>
      </c>
      <c r="B124" s="2" t="str">
        <f t="shared" si="13"/>
        <v>RES_database_one.sysrouserfields.percepcionesporextraordinariasycomplementarias.fieldname.rotext</v>
      </c>
      <c r="C124" s="2" t="str">
        <f t="shared" si="18"/>
        <v>sysrouserfields</v>
      </c>
      <c r="D124" s="2" t="str">
        <f t="shared" si="19"/>
        <v>percepcionesporextraordinariasycomplementarias</v>
      </c>
      <c r="E124" s="2" t="str">
        <f t="shared" si="20"/>
        <v>fieldname</v>
      </c>
      <c r="F124" s="2" t="str">
        <f t="shared" si="17"/>
        <v>Percepciones por extraordinarias y complementarias</v>
      </c>
      <c r="G124" s="1" t="s">
        <v>89</v>
      </c>
      <c r="H124" s="1" t="s">
        <v>18</v>
      </c>
      <c r="I124" s="1" t="s">
        <v>491</v>
      </c>
      <c r="J124" s="1" t="s">
        <v>588</v>
      </c>
      <c r="K124" s="1" t="s">
        <v>311</v>
      </c>
      <c r="L124" s="1" t="s">
        <v>389</v>
      </c>
      <c r="M124" s="1" t="s">
        <v>466</v>
      </c>
      <c r="N124" s="5" t="str">
        <f>CONCATENATE("UPDATE ",Database_ESP[[#This Row],[Table]]," SET ",Database_ESP[[#This Row],[Column]]," = '",Database_ESP[[#This Row],[POR.XAVI.INICIAL]],"' WHERE LanguageTag = '",Database_ESP[[#This Row],[Tag]],"'")</f>
        <v>UPDATE sysrouserfields SET fieldname = 'Saber se o ficheiro de correlação está corretamente introduzido na base de dados.' WHERE LanguageTag = 'percepcionesporextraordinariasycomplementarias'</v>
      </c>
      <c r="O124" s="5" t="str">
        <f>CONCATENATE("UPDATE ",Database_ESP[[#This Row],[Table]]," SET ",Database_ESP[[#This Row],[Column]]," = '",Database_ESP[[#This Row],[ESP]],"' WHERE LanguageTag = '",Database_ESP[[#This Row],[Tag]],"'")</f>
        <v>UPDATE sysrouserfields SET fieldname = 'Percepciones por extraordinarias y complementarias' WHERE LanguageTag = 'percepcionesporextraordinariasycomplementarias'</v>
      </c>
      <c r="P124" s="5" t="str">
        <f>CONCATENATE("UPDATE ",Database_ESP[[#This Row],[Table]]," SET ",Database_ESP[[#This Row],[Column]]," = '",Database_ESP[[#This Row],[ENG]],"' WHERE LanguageTag = '",Database_ESP[[#This Row],[Tag]],"'")</f>
        <v>UPDATE sysrouserfields SET fieldname = 'Extraordinary and complementary perceptions' WHERE LanguageTag = 'percepcionesporextraordinariasycomplementarias'</v>
      </c>
      <c r="Q124" s="5" t="str">
        <f>CONCATENATE("UPDATE ",Database_ESP[[#This Row],[Table]]," SET ",Database_ESP[[#This Row],[Column]]," = '",Database_ESP[[#This Row],[FR]],"' WHERE LanguageTag = '",Database_ESP[[#This Row],[Tag]],"'")</f>
        <v>UPDATE sysrouserfields SET fieldname = 'Revenus d’heures supplémentaires et complémentaires' WHERE LanguageTag = 'percepcionesporextraordinariasycomplementarias'</v>
      </c>
      <c r="R124" s="5" t="str">
        <f>CONCATENATE("UPDATE ",Database_ESP[[#This Row],[Table]]," SET ",Database_ESP[[#This Row],[Column]]," = '",Database_ESP[[#This Row],[IT]],"' WHERE LanguageTag = '",Database_ESP[[#This Row],[Tag]],"'")</f>
        <v>UPDATE sysrouserfields SET fieldname = 'Riscossioni per straordinari e complementari' WHERE LanguageTag = 'percepcionesporextraordinariasycomplementarias'</v>
      </c>
      <c r="S124" s="5" t="str">
        <f>CONCATENATE("UPDATE ",Database_ESP[[#This Row],[Table]]," SET ",Database_ESP[[#This Row],[Column]]," = '",Database_ESP[[#This Row],[SK]],"' WHERE LanguageTag = '",Database_ESP[[#This Row],[Tag]],"'")</f>
        <v>UPDATE sysrouserfields SET fieldname = 'Mimoriadne a dodatočné platby' WHERE LanguageTag = 'percepcionesporextraordinariasycomplementarias'</v>
      </c>
    </row>
    <row r="125" spans="1:19" ht="210" x14ac:dyDescent="0.25">
      <c r="A125" s="2" t="s">
        <v>872</v>
      </c>
      <c r="B125" s="2" t="str">
        <f t="shared" si="13"/>
        <v>RES_database_one.sysrouserfields.poblacion.fieldname.rotext</v>
      </c>
      <c r="C125" s="2" t="str">
        <f t="shared" si="18"/>
        <v>sysrouserfields</v>
      </c>
      <c r="D125" s="2" t="str">
        <f t="shared" si="19"/>
        <v>poblacion</v>
      </c>
      <c r="E125" s="2" t="str">
        <f t="shared" si="20"/>
        <v>fieldname</v>
      </c>
      <c r="F125" s="2" t="str">
        <f t="shared" si="17"/>
        <v>Población</v>
      </c>
      <c r="G125" s="1" t="s">
        <v>79</v>
      </c>
      <c r="H125" s="1" t="s">
        <v>179</v>
      </c>
      <c r="I125" s="1" t="s">
        <v>768</v>
      </c>
      <c r="J125" s="1" t="s">
        <v>589</v>
      </c>
      <c r="K125" s="1" t="s">
        <v>312</v>
      </c>
      <c r="L125" s="1" t="s">
        <v>390</v>
      </c>
      <c r="M125" s="1" t="s">
        <v>467</v>
      </c>
      <c r="N125" s="5" t="str">
        <f>CONCATENATE("UPDATE ",Database_ESP[[#This Row],[Table]]," SET ",Database_ESP[[#This Row],[Column]]," = '",Database_ESP[[#This Row],[POR.XAVI.INICIAL]],"' WHERE LanguageTag = '",Database_ESP[[#This Row],[Tag]],"'")</f>
        <v>UPDATE sysrouserfields SET fieldname = 'Ver as marcações de ponto efectuadas numa data específica (pode escolher a data)' WHERE LanguageTag = 'poblacion'</v>
      </c>
      <c r="O125" s="5" t="str">
        <f>CONCATENATE("UPDATE ",Database_ESP[[#This Row],[Table]]," SET ",Database_ESP[[#This Row],[Column]]," = '",Database_ESP[[#This Row],[ESP]],"' WHERE LanguageTag = '",Database_ESP[[#This Row],[Tag]],"'")</f>
        <v>UPDATE sysrouserfields SET fieldname = 'Población' WHERE LanguageTag = 'poblacion'</v>
      </c>
      <c r="P125" s="5" t="str">
        <f>CONCATENATE("UPDATE ",Database_ESP[[#This Row],[Table]]," SET ",Database_ESP[[#This Row],[Column]]," = '",Database_ESP[[#This Row],[ENG]],"' WHERE LanguageTag = '",Database_ESP[[#This Row],[Tag]],"'")</f>
        <v>UPDATE sysrouserfields SET fieldname = 'Population' WHERE LanguageTag = 'poblacion'</v>
      </c>
      <c r="Q125" s="5" t="str">
        <f>CONCATENATE("UPDATE ",Database_ESP[[#This Row],[Table]]," SET ",Database_ESP[[#This Row],[Column]]," = '",Database_ESP[[#This Row],[FR]],"' WHERE LanguageTag = '",Database_ESP[[#This Row],[Tag]],"'")</f>
        <v>UPDATE sysrouserfields SET fieldname = 'Ville' WHERE LanguageTag = 'poblacion'</v>
      </c>
      <c r="R125" s="5" t="str">
        <f>CONCATENATE("UPDATE ",Database_ESP[[#This Row],[Table]]," SET ",Database_ESP[[#This Row],[Column]]," = '",Database_ESP[[#This Row],[IT]],"' WHERE LanguageTag = '",Database_ESP[[#This Row],[Tag]],"'")</f>
        <v>UPDATE sysrouserfields SET fieldname = 'Comune' WHERE LanguageTag = 'poblacion'</v>
      </c>
      <c r="S125" s="5" t="str">
        <f>CONCATENATE("UPDATE ",Database_ESP[[#This Row],[Table]]," SET ",Database_ESP[[#This Row],[Column]]," = '",Database_ESP[[#This Row],[SK]],"' WHERE LanguageTag = '",Database_ESP[[#This Row],[Tag]],"'")</f>
        <v>UPDATE sysrouserfields SET fieldname = 'Obyvateľstvo' WHERE LanguageTag = 'poblacion'</v>
      </c>
    </row>
    <row r="126" spans="1:19" ht="225" x14ac:dyDescent="0.25">
      <c r="A126" s="2" t="s">
        <v>511</v>
      </c>
      <c r="B126" s="2" t="str">
        <f t="shared" si="13"/>
        <v>RES_database_one.sysrouserfields.precioporhora.category.rotext</v>
      </c>
      <c r="C126" s="2" t="str">
        <f t="shared" si="18"/>
        <v>sysrouserfields</v>
      </c>
      <c r="D126" s="2" t="str">
        <f t="shared" si="19"/>
        <v>precioporhora</v>
      </c>
      <c r="E126" s="2" t="str">
        <f t="shared" si="20"/>
        <v>category</v>
      </c>
      <c r="F126" s="2" t="str">
        <f t="shared" si="17"/>
        <v>VisualTime</v>
      </c>
      <c r="G126" s="1" t="s">
        <v>40</v>
      </c>
      <c r="H126" s="1" t="s">
        <v>180</v>
      </c>
      <c r="I126" s="1" t="s">
        <v>227</v>
      </c>
      <c r="J126" s="1" t="s">
        <v>40</v>
      </c>
      <c r="K126" s="1" t="s">
        <v>227</v>
      </c>
      <c r="L126" s="1" t="s">
        <v>227</v>
      </c>
      <c r="M126" s="1" t="s">
        <v>227</v>
      </c>
      <c r="N126" s="5" t="str">
        <f>CONCATENATE("UPDATE ",Database_ESP[[#This Row],[Table]]," SET ",Database_ESP[[#This Row],[Column]]," = '",Database_ESP[[#This Row],[POR.XAVI.INICIAL]],"' WHERE LanguageTag = '",Database_ESP[[#This Row],[Tag]],"'")</f>
        <v>UPDATE sysrouserfields SET category = 'Ver as marcações de ponto que tiveram lugar numa data específica (pode escolher a data)' WHERE LanguageTag = 'precioporhora'</v>
      </c>
      <c r="O126" s="5" t="str">
        <f>CONCATENATE("UPDATE ",Database_ESP[[#This Row],[Table]]," SET ",Database_ESP[[#This Row],[Column]]," = '",Database_ESP[[#This Row],[ESP]],"' WHERE LanguageTag = '",Database_ESP[[#This Row],[Tag]],"'")</f>
        <v>UPDATE sysrouserfields SET category = 'VisualTime' WHERE LanguageTag = 'precioporhora'</v>
      </c>
      <c r="P126" s="5" t="str">
        <f>CONCATENATE("UPDATE ",Database_ESP[[#This Row],[Table]]," SET ",Database_ESP[[#This Row],[Column]]," = '",Database_ESP[[#This Row],[ENG]],"' WHERE LanguageTag = '",Database_ESP[[#This Row],[Tag]],"'")</f>
        <v>UPDATE sysrouserfields SET category = 'VisualTime' WHERE LanguageTag = 'precioporhora'</v>
      </c>
      <c r="Q126" s="5" t="str">
        <f>CONCATENATE("UPDATE ",Database_ESP[[#This Row],[Table]]," SET ",Database_ESP[[#This Row],[Column]]," = '",Database_ESP[[#This Row],[FR]],"' WHERE LanguageTag = '",Database_ESP[[#This Row],[Tag]],"'")</f>
        <v>UPDATE sysrouserfields SET category = 'Visualtime' WHERE LanguageTag = 'precioporhora'</v>
      </c>
      <c r="R126" s="5" t="str">
        <f>CONCATENATE("UPDATE ",Database_ESP[[#This Row],[Table]]," SET ",Database_ESP[[#This Row],[Column]]," = '",Database_ESP[[#This Row],[IT]],"' WHERE LanguageTag = '",Database_ESP[[#This Row],[Tag]],"'")</f>
        <v>UPDATE sysrouserfields SET category = 'Visualtime' WHERE LanguageTag = 'precioporhora'</v>
      </c>
      <c r="S126" s="5" t="str">
        <f>CONCATENATE("UPDATE ",Database_ESP[[#This Row],[Table]]," SET ",Database_ESP[[#This Row],[Column]]," = '",Database_ESP[[#This Row],[SK]],"' WHERE LanguageTag = '",Database_ESP[[#This Row],[Tag]],"'")</f>
        <v>UPDATE sysrouserfields SET category = 'Visualtime' WHERE LanguageTag = 'precioporhora'</v>
      </c>
    </row>
    <row r="127" spans="1:19" ht="180" x14ac:dyDescent="0.25">
      <c r="A127" s="2" t="s">
        <v>873</v>
      </c>
      <c r="B127" s="2" t="str">
        <f t="shared" si="13"/>
        <v>RES_database_one.sysrouserfields.precioporhora.fieldname.rotext</v>
      </c>
      <c r="C127" s="2" t="str">
        <f t="shared" si="18"/>
        <v>sysrouserfields</v>
      </c>
      <c r="D127" s="2" t="str">
        <f t="shared" si="19"/>
        <v>precioporhora</v>
      </c>
      <c r="E127" s="2" t="str">
        <f t="shared" si="20"/>
        <v>fieldname</v>
      </c>
      <c r="F127" s="2" t="str">
        <f t="shared" si="17"/>
        <v>Precio por hora</v>
      </c>
      <c r="G127" s="1" t="s">
        <v>97</v>
      </c>
      <c r="H127" s="1" t="s">
        <v>17</v>
      </c>
      <c r="I127" s="1" t="s">
        <v>492</v>
      </c>
      <c r="J127" s="1" t="s">
        <v>236</v>
      </c>
      <c r="K127" s="1" t="s">
        <v>313</v>
      </c>
      <c r="L127" s="1" t="s">
        <v>391</v>
      </c>
      <c r="M127" s="1" t="s">
        <v>468</v>
      </c>
      <c r="N127" s="5" t="str">
        <f>CONCATENATE("UPDATE ",Database_ESP[[#This Row],[Table]]," SET ",Database_ESP[[#This Row],[Column]]," = '",Database_ESP[[#This Row],[POR.XAVI.INICIAL]],"' WHERE LanguageTag = '",Database_ESP[[#This Row],[Tag]],"'")</f>
        <v>UPDATE sysrouserfields SET fieldname = 'Visualizar as tarefas pendentes penduradas nos terminais após a difusão' WHERE LanguageTag = 'precioporhora'</v>
      </c>
      <c r="O127" s="5" t="str">
        <f>CONCATENATE("UPDATE ",Database_ESP[[#This Row],[Table]]," SET ",Database_ESP[[#This Row],[Column]]," = '",Database_ESP[[#This Row],[ESP]],"' WHERE LanguageTag = '",Database_ESP[[#This Row],[Tag]],"'")</f>
        <v>UPDATE sysrouserfields SET fieldname = 'Precio por hora' WHERE LanguageTag = 'precioporhora'</v>
      </c>
      <c r="P127" s="5" t="str">
        <f>CONCATENATE("UPDATE ",Database_ESP[[#This Row],[Table]]," SET ",Database_ESP[[#This Row],[Column]]," = '",Database_ESP[[#This Row],[ENG]],"' WHERE LanguageTag = '",Database_ESP[[#This Row],[Tag]],"'")</f>
        <v>UPDATE sysrouserfields SET fieldname = 'Price per hour' WHERE LanguageTag = 'precioporhora'</v>
      </c>
      <c r="Q127" s="5" t="str">
        <f>CONCATENATE("UPDATE ",Database_ESP[[#This Row],[Table]]," SET ",Database_ESP[[#This Row],[Column]]," = '",Database_ESP[[#This Row],[FR]],"' WHERE LanguageTag = '",Database_ESP[[#This Row],[Tag]],"'")</f>
        <v>UPDATE sysrouserfields SET fieldname = 'Prix par heure' WHERE LanguageTag = 'precioporhora'</v>
      </c>
      <c r="R127" s="5" t="str">
        <f>CONCATENATE("UPDATE ",Database_ESP[[#This Row],[Table]]," SET ",Database_ESP[[#This Row],[Column]]," = '",Database_ESP[[#This Row],[IT]],"' WHERE LanguageTag = '",Database_ESP[[#This Row],[Tag]],"'")</f>
        <v>UPDATE sysrouserfields SET fieldname = 'Prezzo per ora' WHERE LanguageTag = 'precioporhora'</v>
      </c>
      <c r="S127" s="5" t="str">
        <f>CONCATENATE("UPDATE ",Database_ESP[[#This Row],[Table]]," SET ",Database_ESP[[#This Row],[Column]]," = '",Database_ESP[[#This Row],[SK]],"' WHERE LanguageTag = '",Database_ESP[[#This Row],[Tag]],"'")</f>
        <v>UPDATE sysrouserfields SET fieldname = 'Hodinová sadzba' WHERE LanguageTag = 'precioporhora'</v>
      </c>
    </row>
    <row r="128" spans="1:19" ht="180" x14ac:dyDescent="0.25">
      <c r="A128" s="2" t="s">
        <v>595</v>
      </c>
      <c r="B128" s="2" t="str">
        <f t="shared" si="13"/>
        <v>RES_database_one.sysrouserfields.provincia.fieldname.rotext</v>
      </c>
      <c r="C128" s="2" t="str">
        <f t="shared" si="18"/>
        <v>sysrouserfields</v>
      </c>
      <c r="D128" s="2" t="str">
        <f t="shared" si="19"/>
        <v>provincia</v>
      </c>
      <c r="E128" s="2" t="str">
        <f t="shared" si="20"/>
        <v>fieldname</v>
      </c>
      <c r="F128" s="2" t="str">
        <f t="shared" si="17"/>
        <v>Provincia</v>
      </c>
      <c r="G128" s="1" t="s">
        <v>80</v>
      </c>
      <c r="H128" s="1" t="s">
        <v>17</v>
      </c>
      <c r="I128" s="1" t="s">
        <v>493</v>
      </c>
      <c r="J128" s="1" t="s">
        <v>237</v>
      </c>
      <c r="K128" s="1" t="s">
        <v>314</v>
      </c>
      <c r="L128" s="1" t="s">
        <v>80</v>
      </c>
      <c r="M128" s="1" t="s">
        <v>80</v>
      </c>
      <c r="N128" s="5" t="str">
        <f>CONCATENATE("UPDATE ",Database_ESP[[#This Row],[Table]]," SET ",Database_ESP[[#This Row],[Column]]," = '",Database_ESP[[#This Row],[POR.XAVI.INICIAL]],"' WHERE LanguageTag = '",Database_ESP[[#This Row],[Tag]],"'")</f>
        <v>UPDATE sysrouserfields SET fieldname = 'Visualizar as tarefas pendentes penduradas nos terminais após a difusão' WHERE LanguageTag = 'provincia'</v>
      </c>
      <c r="O128" s="5" t="str">
        <f>CONCATENATE("UPDATE ",Database_ESP[[#This Row],[Table]]," SET ",Database_ESP[[#This Row],[Column]]," = '",Database_ESP[[#This Row],[ESP]],"' WHERE LanguageTag = '",Database_ESP[[#This Row],[Tag]],"'")</f>
        <v>UPDATE sysrouserfields SET fieldname = 'Provincia' WHERE LanguageTag = 'provincia'</v>
      </c>
      <c r="P128" s="5" t="str">
        <f>CONCATENATE("UPDATE ",Database_ESP[[#This Row],[Table]]," SET ",Database_ESP[[#This Row],[Column]]," = '",Database_ESP[[#This Row],[ENG]],"' WHERE LanguageTag = '",Database_ESP[[#This Row],[Tag]],"'")</f>
        <v>UPDATE sysrouserfields SET fieldname = 'Province' WHERE LanguageTag = 'provincia'</v>
      </c>
      <c r="Q128" s="5" t="str">
        <f>CONCATENATE("UPDATE ",Database_ESP[[#This Row],[Table]]," SET ",Database_ESP[[#This Row],[Column]]," = '",Database_ESP[[#This Row],[FR]],"' WHERE LanguageTag = '",Database_ESP[[#This Row],[Tag]],"'")</f>
        <v>UPDATE sysrouserfields SET fieldname = 'Région' WHERE LanguageTag = 'provincia'</v>
      </c>
      <c r="R128" s="5" t="str">
        <f>CONCATENATE("UPDATE ",Database_ESP[[#This Row],[Table]]," SET ",Database_ESP[[#This Row],[Column]]," = '",Database_ESP[[#This Row],[IT]],"' WHERE LanguageTag = '",Database_ESP[[#This Row],[Tag]],"'")</f>
        <v>UPDATE sysrouserfields SET fieldname = 'Provincia' WHERE LanguageTag = 'provincia'</v>
      </c>
      <c r="S128" s="5" t="str">
        <f>CONCATENATE("UPDATE ",Database_ESP[[#This Row],[Table]]," SET ",Database_ESP[[#This Row],[Column]]," = '",Database_ESP[[#This Row],[SK]],"' WHERE LanguageTag = '",Database_ESP[[#This Row],[Tag]],"'")</f>
        <v>UPDATE sysrouserfields SET fieldname = 'Provincia' WHERE LanguageTag = 'provincia'</v>
      </c>
    </row>
    <row r="129" spans="1:19" ht="60" x14ac:dyDescent="0.25">
      <c r="A129" s="2" t="s">
        <v>701</v>
      </c>
      <c r="B129" s="2" t="str">
        <f t="shared" si="13"/>
        <v>RES_database_one.sysrouserfields.puesto.category.rotext</v>
      </c>
      <c r="C129" s="2" t="str">
        <f t="shared" si="18"/>
        <v>sysrouserfields</v>
      </c>
      <c r="D129" s="2" t="str">
        <f t="shared" si="19"/>
        <v>puesto</v>
      </c>
      <c r="E129" s="2" t="str">
        <f t="shared" si="20"/>
        <v>category</v>
      </c>
      <c r="F129" s="2" t="str">
        <f t="shared" si="17"/>
        <v>Laboral</v>
      </c>
      <c r="G129" s="1" t="s">
        <v>106</v>
      </c>
      <c r="H129" s="1" t="s">
        <v>37</v>
      </c>
      <c r="I129" s="1" t="s">
        <v>106</v>
      </c>
      <c r="J129" s="1" t="s">
        <v>576</v>
      </c>
      <c r="K129" s="1" t="s">
        <v>291</v>
      </c>
      <c r="L129" s="1" t="s">
        <v>367</v>
      </c>
      <c r="M129" s="1" t="s">
        <v>445</v>
      </c>
      <c r="N129" s="5" t="str">
        <f>CONCATENATE("UPDATE ",Database_ESP[[#This Row],[Table]]," SET ",Database_ESP[[#This Row],[Column]]," = '",Database_ESP[[#This Row],[POR.XAVI.INICIAL]],"' WHERE LanguageTag = '",Database_ESP[[#This Row],[Tag]],"'")</f>
        <v>UPDATE sysrouserfields SET category = 'Relatório de ausências' WHERE LanguageTag = 'puesto'</v>
      </c>
      <c r="O129" s="5" t="str">
        <f>CONCATENATE("UPDATE ",Database_ESP[[#This Row],[Table]]," SET ",Database_ESP[[#This Row],[Column]]," = '",Database_ESP[[#This Row],[ESP]],"' WHERE LanguageTag = '",Database_ESP[[#This Row],[Tag]],"'")</f>
        <v>UPDATE sysrouserfields SET category = 'Laboral' WHERE LanguageTag = 'puesto'</v>
      </c>
      <c r="P129" s="5" t="str">
        <f>CONCATENATE("UPDATE ",Database_ESP[[#This Row],[Table]]," SET ",Database_ESP[[#This Row],[Column]]," = '",Database_ESP[[#This Row],[ENG]],"' WHERE LanguageTag = '",Database_ESP[[#This Row],[Tag]],"'")</f>
        <v>UPDATE sysrouserfields SET category = 'Labor' WHERE LanguageTag = 'puesto'</v>
      </c>
      <c r="Q129" s="5" t="str">
        <f>CONCATENATE("UPDATE ",Database_ESP[[#This Row],[Table]]," SET ",Database_ESP[[#This Row],[Column]]," = '",Database_ESP[[#This Row],[FR]],"' WHERE LanguageTag = '",Database_ESP[[#This Row],[Tag]],"'")</f>
        <v>UPDATE sysrouserfields SET category = 'Professionnel' WHERE LanguageTag = 'puesto'</v>
      </c>
      <c r="R129" s="5" t="str">
        <f>CONCATENATE("UPDATE ",Database_ESP[[#This Row],[Table]]," SET ",Database_ESP[[#This Row],[Column]]," = '",Database_ESP[[#This Row],[IT]],"' WHERE LanguageTag = '",Database_ESP[[#This Row],[Tag]],"'")</f>
        <v>UPDATE sysrouserfields SET category = 'Lavorativo' WHERE LanguageTag = 'puesto'</v>
      </c>
      <c r="S129" s="5" t="str">
        <f>CONCATENATE("UPDATE ",Database_ESP[[#This Row],[Table]]," SET ",Database_ESP[[#This Row],[Column]]," = '",Database_ESP[[#This Row],[SK]],"' WHERE LanguageTag = '",Database_ESP[[#This Row],[Tag]],"'")</f>
        <v>UPDATE sysrouserfields SET category = 'Práca' WHERE LanguageTag = 'puesto'</v>
      </c>
    </row>
    <row r="130" spans="1:19" ht="45" x14ac:dyDescent="0.25">
      <c r="A130" s="2" t="s">
        <v>874</v>
      </c>
      <c r="B130" s="2" t="str">
        <f t="shared" si="13"/>
        <v>RES_database_one.sysrouserfields.puesto.fieldname.rotext</v>
      </c>
      <c r="C130" s="2" t="str">
        <f t="shared" si="18"/>
        <v>sysrouserfields</v>
      </c>
      <c r="D130" s="2" t="str">
        <f t="shared" si="19"/>
        <v>puesto</v>
      </c>
      <c r="E130" s="2" t="str">
        <f t="shared" si="20"/>
        <v>fieldname</v>
      </c>
      <c r="F130" s="2" t="str">
        <f t="shared" ref="F130:F147" si="21">RIGHT(A130,LEN(A130) - SEARCH("=", A130))</f>
        <v>Puesto</v>
      </c>
      <c r="G130" s="1" t="s">
        <v>83</v>
      </c>
      <c r="H130" s="1" t="s">
        <v>12</v>
      </c>
      <c r="I130" s="1" t="s">
        <v>213</v>
      </c>
      <c r="J130" s="1" t="s">
        <v>238</v>
      </c>
      <c r="K130" s="1" t="s">
        <v>315</v>
      </c>
      <c r="L130" s="1" t="s">
        <v>688</v>
      </c>
      <c r="M130" s="1" t="s">
        <v>469</v>
      </c>
      <c r="N130" s="5" t="str">
        <f>CONCATENATE("UPDATE ",Database_ESP[[#This Row],[Table]]," SET ",Database_ESP[[#This Row],[Column]]," = '",Database_ESP[[#This Row],[POR.XAVI.INICIAL]],"' WHERE LanguageTag = '",Database_ESP[[#This Row],[Tag]],"'")</f>
        <v>UPDATE sysrouserfields SET fieldname = 'Relatório de saldo' WHERE LanguageTag = 'puesto'</v>
      </c>
      <c r="O130" s="5" t="str">
        <f>CONCATENATE("UPDATE ",Database_ESP[[#This Row],[Table]]," SET ",Database_ESP[[#This Row],[Column]]," = '",Database_ESP[[#This Row],[ESP]],"' WHERE LanguageTag = '",Database_ESP[[#This Row],[Tag]],"'")</f>
        <v>UPDATE sysrouserfields SET fieldname = 'Puesto' WHERE LanguageTag = 'puesto'</v>
      </c>
      <c r="P130" s="5" t="str">
        <f>CONCATENATE("UPDATE ",Database_ESP[[#This Row],[Table]]," SET ",Database_ESP[[#This Row],[Column]]," = '",Database_ESP[[#This Row],[ENG]],"' WHERE LanguageTag = '",Database_ESP[[#This Row],[Tag]],"'")</f>
        <v>UPDATE sysrouserfields SET fieldname = 'Position' WHERE LanguageTag = 'puesto'</v>
      </c>
      <c r="Q130" s="5" t="str">
        <f>CONCATENATE("UPDATE ",Database_ESP[[#This Row],[Table]]," SET ",Database_ESP[[#This Row],[Column]]," = '",Database_ESP[[#This Row],[FR]],"' WHERE LanguageTag = '",Database_ESP[[#This Row],[Tag]],"'")</f>
        <v>UPDATE sysrouserfields SET fieldname = 'Poste' WHERE LanguageTag = 'puesto'</v>
      </c>
      <c r="R130" s="5" t="str">
        <f>CONCATENATE("UPDATE ",Database_ESP[[#This Row],[Table]]," SET ",Database_ESP[[#This Row],[Column]]," = '",Database_ESP[[#This Row],[IT]],"' WHERE LanguageTag = '",Database_ESP[[#This Row],[Tag]],"'")</f>
        <v>UPDATE sysrouserfields SET fieldname = 'Post' WHERE LanguageTag = 'puesto'</v>
      </c>
      <c r="S130" s="5" t="str">
        <f>CONCATENATE("UPDATE ",Database_ESP[[#This Row],[Table]]," SET ",Database_ESP[[#This Row],[Column]]," = '",Database_ESP[[#This Row],[SK]],"' WHERE LanguageTag = '",Database_ESP[[#This Row],[Tag]],"'")</f>
        <v>UPDATE sysrouserfields SET fieldname = 'pošta' WHERE LanguageTag = 'puesto'</v>
      </c>
    </row>
    <row r="131" spans="1:19" ht="90" x14ac:dyDescent="0.25">
      <c r="A131" s="2" t="s">
        <v>512</v>
      </c>
      <c r="B131" s="2" t="str">
        <f t="shared" ref="B131:B141" si="22">LEFT(A131,SEARCH("=",A131)-1)</f>
        <v>RES_database_one.sysrouserfields.puntodereunion.category.rotext</v>
      </c>
      <c r="C131" s="2" t="str">
        <f t="shared" si="18"/>
        <v>sysrouserfields</v>
      </c>
      <c r="D131" s="2" t="str">
        <f t="shared" si="19"/>
        <v>puntodereunion</v>
      </c>
      <c r="E131" s="2" t="str">
        <f t="shared" si="20"/>
        <v>category</v>
      </c>
      <c r="F131" s="2" t="str">
        <f t="shared" si="21"/>
        <v>VisualTime</v>
      </c>
      <c r="G131" s="1" t="s">
        <v>40</v>
      </c>
      <c r="H131" s="1" t="s">
        <v>210</v>
      </c>
      <c r="I131" s="1" t="s">
        <v>227</v>
      </c>
      <c r="J131" s="1" t="s">
        <v>40</v>
      </c>
      <c r="K131" s="1" t="s">
        <v>227</v>
      </c>
      <c r="L131" s="1" t="s">
        <v>227</v>
      </c>
      <c r="M131" s="1" t="s">
        <v>227</v>
      </c>
      <c r="N131" s="5" t="str">
        <f>CONCATENATE("UPDATE ",Database_ESP[[#This Row],[Table]]," SET ",Database_ESP[[#This Row],[Column]]," = '",Database_ESP[[#This Row],[POR.XAVI.INICIAL]],"' WHERE LanguageTag = '",Database_ESP[[#This Row],[Tag]],"'")</f>
        <v>UPDATE sysrouserfields SET category = 'Relatório de feriados pendentes' WHERE LanguageTag = 'puntodereunion'</v>
      </c>
      <c r="O131" s="5" t="str">
        <f>CONCATENATE("UPDATE ",Database_ESP[[#This Row],[Table]]," SET ",Database_ESP[[#This Row],[Column]]," = '",Database_ESP[[#This Row],[ESP]],"' WHERE LanguageTag = '",Database_ESP[[#This Row],[Tag]],"'")</f>
        <v>UPDATE sysrouserfields SET category = 'VisualTime' WHERE LanguageTag = 'puntodereunion'</v>
      </c>
      <c r="P131" s="5" t="str">
        <f>CONCATENATE("UPDATE ",Database_ESP[[#This Row],[Table]]," SET ",Database_ESP[[#This Row],[Column]]," = '",Database_ESP[[#This Row],[ENG]],"' WHERE LanguageTag = '",Database_ESP[[#This Row],[Tag]],"'")</f>
        <v>UPDATE sysrouserfields SET category = 'VisualTime' WHERE LanguageTag = 'puntodereunion'</v>
      </c>
      <c r="Q131" s="5" t="str">
        <f>CONCATENATE("UPDATE ",Database_ESP[[#This Row],[Table]]," SET ",Database_ESP[[#This Row],[Column]]," = '",Database_ESP[[#This Row],[FR]],"' WHERE LanguageTag = '",Database_ESP[[#This Row],[Tag]],"'")</f>
        <v>UPDATE sysrouserfields SET category = 'Visualtime' WHERE LanguageTag = 'puntodereunion'</v>
      </c>
      <c r="R131" s="5" t="str">
        <f>CONCATENATE("UPDATE ",Database_ESP[[#This Row],[Table]]," SET ",Database_ESP[[#This Row],[Column]]," = '",Database_ESP[[#This Row],[IT]],"' WHERE LanguageTag = '",Database_ESP[[#This Row],[Tag]],"'")</f>
        <v>UPDATE sysrouserfields SET category = 'Visualtime' WHERE LanguageTag = 'puntodereunion'</v>
      </c>
      <c r="S131" s="5" t="str">
        <f>CONCATENATE("UPDATE ",Database_ESP[[#This Row],[Table]]," SET ",Database_ESP[[#This Row],[Column]]," = '",Database_ESP[[#This Row],[SK]],"' WHERE LanguageTag = '",Database_ESP[[#This Row],[Tag]],"'")</f>
        <v>UPDATE sysrouserfields SET category = 'Visualtime' WHERE LanguageTag = 'puntodereunion'</v>
      </c>
    </row>
    <row r="132" spans="1:19" ht="30" x14ac:dyDescent="0.25">
      <c r="A132" s="2" t="s">
        <v>875</v>
      </c>
      <c r="B132" s="2" t="str">
        <f t="shared" si="22"/>
        <v>RES_database_one.sysrouserfields.puntodereunion.fieldname.rotext</v>
      </c>
      <c r="C132" s="2" t="str">
        <f t="shared" si="18"/>
        <v>sysrouserfields</v>
      </c>
      <c r="D132" s="2" t="str">
        <f t="shared" si="19"/>
        <v>puntodereunion</v>
      </c>
      <c r="E132" s="2" t="str">
        <f t="shared" si="20"/>
        <v>fieldname</v>
      </c>
      <c r="F132" s="2" t="str">
        <f t="shared" si="21"/>
        <v>Punto de reunión</v>
      </c>
      <c r="G132" s="1" t="s">
        <v>95</v>
      </c>
      <c r="H132" s="1" t="s">
        <v>13</v>
      </c>
      <c r="I132" s="1" t="s">
        <v>26</v>
      </c>
      <c r="J132" s="1" t="s">
        <v>239</v>
      </c>
      <c r="K132" s="1" t="s">
        <v>316</v>
      </c>
      <c r="L132" s="1" t="s">
        <v>392</v>
      </c>
      <c r="M132" s="1" t="s">
        <v>470</v>
      </c>
      <c r="N132" s="5" t="str">
        <f>CONCATENATE("UPDATE ",Database_ESP[[#This Row],[Table]]," SET ",Database_ESP[[#This Row],[Column]]," = '",Database_ESP[[#This Row],[POR.XAVI.INICIAL]],"' WHERE LanguageTag = '",Database_ESP[[#This Row],[Tag]],"'")</f>
        <v>UPDATE sysrouserfields SET fieldname = 'Relatório geral' WHERE LanguageTag = 'puntodereunion'</v>
      </c>
      <c r="O132" s="5" t="str">
        <f>CONCATENATE("UPDATE ",Database_ESP[[#This Row],[Table]]," SET ",Database_ESP[[#This Row],[Column]]," = '",Database_ESP[[#This Row],[ESP]],"' WHERE LanguageTag = '",Database_ESP[[#This Row],[Tag]],"'")</f>
        <v>UPDATE sysrouserfields SET fieldname = 'Punto de reunión' WHERE LanguageTag = 'puntodereunion'</v>
      </c>
      <c r="P132" s="5" t="str">
        <f>CONCATENATE("UPDATE ",Database_ESP[[#This Row],[Table]]," SET ",Database_ESP[[#This Row],[Column]]," = '",Database_ESP[[#This Row],[ENG]],"' WHERE LanguageTag = '",Database_ESP[[#This Row],[Tag]],"'")</f>
        <v>UPDATE sysrouserfields SET fieldname = 'Meeting point' WHERE LanguageTag = 'puntodereunion'</v>
      </c>
      <c r="Q132" s="5" t="str">
        <f>CONCATENATE("UPDATE ",Database_ESP[[#This Row],[Table]]," SET ",Database_ESP[[#This Row],[Column]]," = '",Database_ESP[[#This Row],[FR]],"' WHERE LanguageTag = '",Database_ESP[[#This Row],[Tag]],"'")</f>
        <v>UPDATE sysrouserfields SET fieldname = 'Point de REUNION' WHERE LanguageTag = 'puntodereunion'</v>
      </c>
      <c r="R132" s="5" t="str">
        <f>CONCATENATE("UPDATE ",Database_ESP[[#This Row],[Table]]," SET ",Database_ESP[[#This Row],[Column]]," = '",Database_ESP[[#This Row],[IT]],"' WHERE LanguageTag = '",Database_ESP[[#This Row],[Tag]],"'")</f>
        <v>UPDATE sysrouserfields SET fieldname = 'Punto d'incontro' WHERE LanguageTag = 'puntodereunion'</v>
      </c>
      <c r="S132" s="5" t="str">
        <f>CONCATENATE("UPDATE ",Database_ESP[[#This Row],[Table]]," SET ",Database_ESP[[#This Row],[Column]]," = '",Database_ESP[[#This Row],[SK]],"' WHERE LanguageTag = '",Database_ESP[[#This Row],[Tag]],"'")</f>
        <v>UPDATE sysrouserfields SET fieldname = 'Miesto stretnutia' WHERE LanguageTag = 'puntodereunion'</v>
      </c>
    </row>
    <row r="133" spans="1:19" ht="30" x14ac:dyDescent="0.25">
      <c r="A133" s="2" t="s">
        <v>702</v>
      </c>
      <c r="B133" s="2" t="str">
        <f t="shared" si="22"/>
        <v>RES_database_one.sysrouserfields.salariobaseanual.category.rotext</v>
      </c>
      <c r="C133" s="2" t="str">
        <f t="shared" si="18"/>
        <v>sysrouserfields</v>
      </c>
      <c r="D133" s="2" t="str">
        <f t="shared" si="19"/>
        <v>salariobaseanual</v>
      </c>
      <c r="E133" s="2" t="str">
        <f t="shared" si="20"/>
        <v>category</v>
      </c>
      <c r="F133" s="2" t="str">
        <f t="shared" si="21"/>
        <v>Laboral</v>
      </c>
      <c r="G133" s="1" t="s">
        <v>106</v>
      </c>
      <c r="H133" s="1" t="s">
        <v>39</v>
      </c>
      <c r="I133" s="1" t="s">
        <v>106</v>
      </c>
      <c r="J133" s="1" t="s">
        <v>576</v>
      </c>
      <c r="K133" s="1" t="s">
        <v>291</v>
      </c>
      <c r="L133" s="1" t="s">
        <v>367</v>
      </c>
      <c r="M133" s="1" t="s">
        <v>445</v>
      </c>
      <c r="N133" s="5" t="str">
        <f>CONCATENATE("UPDATE ",Database_ESP[[#This Row],[Table]]," SET ",Database_ESP[[#This Row],[Column]]," = '",Database_ESP[[#This Row],[POR.XAVI.INICIAL]],"' WHERE LanguageTag = '",Database_ESP[[#This Row],[Tag]],"'")</f>
        <v>UPDATE sysrouserfields SET category = 'Trabalho' WHERE LanguageTag = 'salariobaseanual'</v>
      </c>
      <c r="O133" s="5" t="str">
        <f>CONCATENATE("UPDATE ",Database_ESP[[#This Row],[Table]]," SET ",Database_ESP[[#This Row],[Column]]," = '",Database_ESP[[#This Row],[ESP]],"' WHERE LanguageTag = '",Database_ESP[[#This Row],[Tag]],"'")</f>
        <v>UPDATE sysrouserfields SET category = 'Laboral' WHERE LanguageTag = 'salariobaseanual'</v>
      </c>
      <c r="P133" s="5" t="str">
        <f>CONCATENATE("UPDATE ",Database_ESP[[#This Row],[Table]]," SET ",Database_ESP[[#This Row],[Column]]," = '",Database_ESP[[#This Row],[ENG]],"' WHERE LanguageTag = '",Database_ESP[[#This Row],[Tag]],"'")</f>
        <v>UPDATE sysrouserfields SET category = 'Labor' WHERE LanguageTag = 'salariobaseanual'</v>
      </c>
      <c r="Q133" s="5" t="str">
        <f>CONCATENATE("UPDATE ",Database_ESP[[#This Row],[Table]]," SET ",Database_ESP[[#This Row],[Column]]," = '",Database_ESP[[#This Row],[FR]],"' WHERE LanguageTag = '",Database_ESP[[#This Row],[Tag]],"'")</f>
        <v>UPDATE sysrouserfields SET category = 'Professionnel' WHERE LanguageTag = 'salariobaseanual'</v>
      </c>
      <c r="R133" s="5" t="str">
        <f>CONCATENATE("UPDATE ",Database_ESP[[#This Row],[Table]]," SET ",Database_ESP[[#This Row],[Column]]," = '",Database_ESP[[#This Row],[IT]],"' WHERE LanguageTag = '",Database_ESP[[#This Row],[Tag]],"'")</f>
        <v>UPDATE sysrouserfields SET category = 'Lavorativo' WHERE LanguageTag = 'salariobaseanual'</v>
      </c>
      <c r="S133" s="5" t="str">
        <f>CONCATENATE("UPDATE ",Database_ESP[[#This Row],[Table]]," SET ",Database_ESP[[#This Row],[Column]]," = '",Database_ESP[[#This Row],[SK]],"' WHERE LanguageTag = '",Database_ESP[[#This Row],[Tag]],"'")</f>
        <v>UPDATE sysrouserfields SET category = 'Práca' WHERE LanguageTag = 'salariobaseanual'</v>
      </c>
    </row>
    <row r="134" spans="1:19" ht="60" x14ac:dyDescent="0.25">
      <c r="A134" s="2" t="s">
        <v>876</v>
      </c>
      <c r="B134" s="2" t="str">
        <f t="shared" si="22"/>
        <v>RES_database_one.sysrouserfields.salariobaseanual.fieldname.rotext</v>
      </c>
      <c r="C134" s="2" t="str">
        <f t="shared" si="18"/>
        <v>sysrouserfields</v>
      </c>
      <c r="D134" s="2" t="str">
        <f t="shared" si="19"/>
        <v>salariobaseanual</v>
      </c>
      <c r="E134" s="2" t="str">
        <f t="shared" si="20"/>
        <v>fieldname</v>
      </c>
      <c r="F134" s="2" t="str">
        <f t="shared" si="21"/>
        <v>Salario base anual</v>
      </c>
      <c r="G134" s="1" t="s">
        <v>86</v>
      </c>
      <c r="H134" s="1" t="s">
        <v>21</v>
      </c>
      <c r="I134" s="1" t="s">
        <v>494</v>
      </c>
      <c r="J134" s="1" t="s">
        <v>590</v>
      </c>
      <c r="K134" s="1" t="s">
        <v>317</v>
      </c>
      <c r="L134" s="1" t="s">
        <v>393</v>
      </c>
      <c r="M134" s="1" t="s">
        <v>471</v>
      </c>
      <c r="N134" s="5" t="str">
        <f>CONCATENATE("UPDATE ",Database_ESP[[#This Row],[Table]]," SET ",Database_ESP[[#This Row],[Column]]," = '",Database_ESP[[#This Row],[POR.XAVI.INICIAL]],"' WHERE LanguageTag = '",Database_ESP[[#This Row],[Tag]],"'")</f>
        <v>UPDATE sysrouserfields SET fieldname = 'Categoria profissional' WHERE LanguageTag = 'salariobaseanual'</v>
      </c>
      <c r="O134" s="5" t="str">
        <f>CONCATENATE("UPDATE ",Database_ESP[[#This Row],[Table]]," SET ",Database_ESP[[#This Row],[Column]]," = '",Database_ESP[[#This Row],[ESP]],"' WHERE LanguageTag = '",Database_ESP[[#This Row],[Tag]],"'")</f>
        <v>UPDATE sysrouserfields SET fieldname = 'Salario base anual' WHERE LanguageTag = 'salariobaseanual'</v>
      </c>
      <c r="P134" s="5" t="str">
        <f>CONCATENATE("UPDATE ",Database_ESP[[#This Row],[Table]]," SET ",Database_ESP[[#This Row],[Column]]," = '",Database_ESP[[#This Row],[ENG]],"' WHERE LanguageTag = '",Database_ESP[[#This Row],[Tag]],"'")</f>
        <v>UPDATE sysrouserfields SET fieldname = 'Annual base salary' WHERE LanguageTag = 'salariobaseanual'</v>
      </c>
      <c r="Q134" s="5" t="str">
        <f>CONCATENATE("UPDATE ",Database_ESP[[#This Row],[Table]]," SET ",Database_ESP[[#This Row],[Column]]," = '",Database_ESP[[#This Row],[FR]],"' WHERE LanguageTag = '",Database_ESP[[#This Row],[Tag]],"'")</f>
        <v>UPDATE sysrouserfields SET fieldname = 'Salaire, base annuelle' WHERE LanguageTag = 'salariobaseanual'</v>
      </c>
      <c r="R134" s="5" t="str">
        <f>CONCATENATE("UPDATE ",Database_ESP[[#This Row],[Table]]," SET ",Database_ESP[[#This Row],[Column]]," = '",Database_ESP[[#This Row],[IT]],"' WHERE LanguageTag = '",Database_ESP[[#This Row],[Tag]],"'")</f>
        <v>UPDATE sysrouserfields SET fieldname = 'Salario base annuale' WHERE LanguageTag = 'salariobaseanual'</v>
      </c>
      <c r="S134" s="5" t="str">
        <f>CONCATENATE("UPDATE ",Database_ESP[[#This Row],[Table]]," SET ",Database_ESP[[#This Row],[Column]]," = '",Database_ESP[[#This Row],[SK]],"' WHERE LanguageTag = '",Database_ESP[[#This Row],[Tag]],"'")</f>
        <v>UPDATE sysrouserfields SET fieldname = 'Základný ročný plat' WHERE LanguageTag = 'salariobaseanual'</v>
      </c>
    </row>
    <row r="135" spans="1:19" ht="409.5" x14ac:dyDescent="0.25">
      <c r="A135" s="2" t="s">
        <v>703</v>
      </c>
      <c r="B135" s="2" t="str">
        <f t="shared" si="22"/>
        <v>RES_database_one.sysrouserfields.salariototalanual.category.rotext</v>
      </c>
      <c r="C135" s="2" t="str">
        <f t="shared" si="18"/>
        <v>sysrouserfields</v>
      </c>
      <c r="D135" s="2" t="str">
        <f t="shared" si="19"/>
        <v>salariototalanual</v>
      </c>
      <c r="E135" s="2" t="str">
        <f t="shared" si="20"/>
        <v>category</v>
      </c>
      <c r="F135" s="2" t="str">
        <f t="shared" si="21"/>
        <v>Laboral</v>
      </c>
      <c r="G135" s="1" t="s">
        <v>106</v>
      </c>
      <c r="H135" s="1" t="s">
        <v>211</v>
      </c>
      <c r="I135" s="1" t="s">
        <v>106</v>
      </c>
      <c r="J135" s="1" t="s">
        <v>576</v>
      </c>
      <c r="K135" s="1" t="s">
        <v>291</v>
      </c>
      <c r="L135" s="1" t="s">
        <v>367</v>
      </c>
      <c r="M135" s="1" t="s">
        <v>445</v>
      </c>
      <c r="N135" s="5" t="str">
        <f>CONCATENATE("UPDATE ",Database_ESP[[#This Row],[Table]]," SET ",Database_ESP[[#This Row],[Column]]," = '",Database_ESP[[#This Row],[POR.XAVI.INICIAL]],"' WHERE LanguageTag = '",Database_ESP[[#This Row],[Tag]],"'")</f>
        <v>UPDATE sysrouserfields SET category = 'Assistentes administrativos~Assistentes não diplomados~Engenheiros técnicos, especialistas e assistentes diplomados~Engenheiros e diplomados~Gestores administrativos e de oficina~Funcionários administrativos~Funcionários de primeira e segunda classe~Funcionários de terceira classe e especialistas~Peões~Subordinados~Trabalhadores com menos de 18 anos' WHERE LanguageTag = 'salariototalanual'</v>
      </c>
      <c r="O135" s="5" t="str">
        <f>CONCATENATE("UPDATE ",Database_ESP[[#This Row],[Table]]," SET ",Database_ESP[[#This Row],[Column]]," = '",Database_ESP[[#This Row],[ESP]],"' WHERE LanguageTag = '",Database_ESP[[#This Row],[Tag]],"'")</f>
        <v>UPDATE sysrouserfields SET category = 'Laboral' WHERE LanguageTag = 'salariototalanual'</v>
      </c>
      <c r="P135" s="5" t="str">
        <f>CONCATENATE("UPDATE ",Database_ESP[[#This Row],[Table]]," SET ",Database_ESP[[#This Row],[Column]]," = '",Database_ESP[[#This Row],[ENG]],"' WHERE LanguageTag = '",Database_ESP[[#This Row],[Tag]],"'")</f>
        <v>UPDATE sysrouserfields SET category = 'Labor' WHERE LanguageTag = 'salariototalanual'</v>
      </c>
      <c r="Q135" s="5" t="str">
        <f>CONCATENATE("UPDATE ",Database_ESP[[#This Row],[Table]]," SET ",Database_ESP[[#This Row],[Column]]," = '",Database_ESP[[#This Row],[FR]],"' WHERE LanguageTag = '",Database_ESP[[#This Row],[Tag]],"'")</f>
        <v>UPDATE sysrouserfields SET category = 'Professionnel' WHERE LanguageTag = 'salariototalanual'</v>
      </c>
      <c r="R135" s="5" t="str">
        <f>CONCATENATE("UPDATE ",Database_ESP[[#This Row],[Table]]," SET ",Database_ESP[[#This Row],[Column]]," = '",Database_ESP[[#This Row],[IT]],"' WHERE LanguageTag = '",Database_ESP[[#This Row],[Tag]],"'")</f>
        <v>UPDATE sysrouserfields SET category = 'Lavorativo' WHERE LanguageTag = 'salariototalanual'</v>
      </c>
      <c r="S135" s="5" t="str">
        <f>CONCATENATE("UPDATE ",Database_ESP[[#This Row],[Table]]," SET ",Database_ESP[[#This Row],[Column]]," = '",Database_ESP[[#This Row],[SK]],"' WHERE LanguageTag = '",Database_ESP[[#This Row],[Tag]],"'")</f>
        <v>UPDATE sysrouserfields SET category = 'Práca' WHERE LanguageTag = 'salariototalanual'</v>
      </c>
    </row>
    <row r="136" spans="1:19" ht="30" x14ac:dyDescent="0.25">
      <c r="A136" s="2" t="s">
        <v>877</v>
      </c>
      <c r="B136" s="2" t="str">
        <f t="shared" si="22"/>
        <v>RES_database_one.sysrouserfields.salariototalanual.fieldname.rotext</v>
      </c>
      <c r="C136" s="2" t="str">
        <f t="shared" si="18"/>
        <v>sysrouserfields</v>
      </c>
      <c r="D136" s="2" t="str">
        <f t="shared" si="19"/>
        <v>salariototalanual</v>
      </c>
      <c r="E136" s="2" t="str">
        <f t="shared" si="20"/>
        <v>fieldname</v>
      </c>
      <c r="F136" s="2" t="str">
        <f t="shared" si="21"/>
        <v>Salario total anual</v>
      </c>
      <c r="G136" s="1" t="s">
        <v>85</v>
      </c>
      <c r="H136" s="1" t="s">
        <v>5</v>
      </c>
      <c r="I136" s="1" t="s">
        <v>495</v>
      </c>
      <c r="J136" s="1" t="s">
        <v>240</v>
      </c>
      <c r="K136" s="1" t="s">
        <v>318</v>
      </c>
      <c r="L136" s="1" t="s">
        <v>394</v>
      </c>
      <c r="M136" s="1" t="s">
        <v>472</v>
      </c>
      <c r="N136" s="5" t="str">
        <f>CONCATENATE("UPDATE ",Database_ESP[[#This Row],[Table]]," SET ",Database_ESP[[#This Row],[Column]]," = '",Database_ESP[[#This Row],[POR.XAVI.INICIAL]],"' WHERE LanguageTag = '",Database_ESP[[#This Row],[Tag]],"'")</f>
        <v>UPDATE sysrouserfields SET fieldname = 'Código Postal' WHERE LanguageTag = 'salariototalanual'</v>
      </c>
      <c r="O136" s="5" t="str">
        <f>CONCATENATE("UPDATE ",Database_ESP[[#This Row],[Table]]," SET ",Database_ESP[[#This Row],[Column]]," = '",Database_ESP[[#This Row],[ESP]],"' WHERE LanguageTag = '",Database_ESP[[#This Row],[Tag]],"'")</f>
        <v>UPDATE sysrouserfields SET fieldname = 'Salario total anual' WHERE LanguageTag = 'salariototalanual'</v>
      </c>
      <c r="P136" s="5" t="str">
        <f>CONCATENATE("UPDATE ",Database_ESP[[#This Row],[Table]]," SET ",Database_ESP[[#This Row],[Column]]," = '",Database_ESP[[#This Row],[ENG]],"' WHERE LanguageTag = '",Database_ESP[[#This Row],[Tag]],"'")</f>
        <v>UPDATE sysrouserfields SET fieldname = 'Total annual salary' WHERE LanguageTag = 'salariototalanual'</v>
      </c>
      <c r="Q136" s="5" t="str">
        <f>CONCATENATE("UPDATE ",Database_ESP[[#This Row],[Table]]," SET ",Database_ESP[[#This Row],[Column]]," = '",Database_ESP[[#This Row],[FR]],"' WHERE LanguageTag = '",Database_ESP[[#This Row],[Tag]],"'")</f>
        <v>UPDATE sysrouserfields SET fieldname = 'Salaire total annuel' WHERE LanguageTag = 'salariototalanual'</v>
      </c>
      <c r="R136" s="5" t="str">
        <f>CONCATENATE("UPDATE ",Database_ESP[[#This Row],[Table]]," SET ",Database_ESP[[#This Row],[Column]]," = '",Database_ESP[[#This Row],[IT]],"' WHERE LanguageTag = '",Database_ESP[[#This Row],[Tag]],"'")</f>
        <v>UPDATE sysrouserfields SET fieldname = 'Salario totale annuale' WHERE LanguageTag = 'salariototalanual'</v>
      </c>
      <c r="S136" s="5" t="str">
        <f>CONCATENATE("UPDATE ",Database_ESP[[#This Row],[Table]]," SET ",Database_ESP[[#This Row],[Column]]," = '",Database_ESP[[#This Row],[SK]],"' WHERE LanguageTag = '",Database_ESP[[#This Row],[Tag]],"'")</f>
        <v>UPDATE sysrouserfields SET fieldname = 'Celkový ročný plat' WHERE LanguageTag = 'salariototalanual'</v>
      </c>
    </row>
    <row r="137" spans="1:19" ht="30" x14ac:dyDescent="0.25">
      <c r="A137" s="2" t="s">
        <v>878</v>
      </c>
      <c r="B137" s="2" t="str">
        <f t="shared" si="22"/>
        <v>RES_database_one.sysrouserfields.telefono.fieldname.rotext</v>
      </c>
      <c r="C137" s="2" t="str">
        <f t="shared" si="18"/>
        <v>sysrouserfields</v>
      </c>
      <c r="D137" s="2" t="str">
        <f t="shared" si="19"/>
        <v>telefono</v>
      </c>
      <c r="E137" s="2" t="str">
        <f t="shared" si="20"/>
        <v>fieldname</v>
      </c>
      <c r="F137" s="2" t="str">
        <f t="shared" si="21"/>
        <v>Teléfono</v>
      </c>
      <c r="G137" s="1" t="s">
        <v>84</v>
      </c>
      <c r="H137" s="1" t="s">
        <v>39</v>
      </c>
      <c r="I137" s="1" t="s">
        <v>22</v>
      </c>
      <c r="J137" s="1" t="s">
        <v>241</v>
      </c>
      <c r="K137" s="1" t="s">
        <v>319</v>
      </c>
      <c r="L137" s="1" t="s">
        <v>395</v>
      </c>
      <c r="M137" s="1" t="s">
        <v>473</v>
      </c>
      <c r="N137" s="5" t="str">
        <f>CONCATENATE("UPDATE ",Database_ESP[[#This Row],[Table]]," SET ",Database_ESP[[#This Row],[Column]]," = '",Database_ESP[[#This Row],[POR.XAVI.INICIAL]],"' WHERE LanguageTag = '",Database_ESP[[#This Row],[Tag]],"'")</f>
        <v>UPDATE sysrouserfields SET fieldname = 'Trabalho' WHERE LanguageTag = 'telefono'</v>
      </c>
      <c r="O137" s="5" t="str">
        <f>CONCATENATE("UPDATE ",Database_ESP[[#This Row],[Table]]," SET ",Database_ESP[[#This Row],[Column]]," = '",Database_ESP[[#This Row],[ESP]],"' WHERE LanguageTag = '",Database_ESP[[#This Row],[Tag]],"'")</f>
        <v>UPDATE sysrouserfields SET fieldname = 'Teléfono' WHERE LanguageTag = 'telefono'</v>
      </c>
      <c r="P137" s="5" t="str">
        <f>CONCATENATE("UPDATE ",Database_ESP[[#This Row],[Table]]," SET ",Database_ESP[[#This Row],[Column]]," = '",Database_ESP[[#This Row],[ENG]],"' WHERE LanguageTag = '",Database_ESP[[#This Row],[Tag]],"'")</f>
        <v>UPDATE sysrouserfields SET fieldname = 'Phone' WHERE LanguageTag = 'telefono'</v>
      </c>
      <c r="Q137" s="5" t="str">
        <f>CONCATENATE("UPDATE ",Database_ESP[[#This Row],[Table]]," SET ",Database_ESP[[#This Row],[Column]]," = '",Database_ESP[[#This Row],[FR]],"' WHERE LanguageTag = '",Database_ESP[[#This Row],[Tag]],"'")</f>
        <v>UPDATE sysrouserfields SET fieldname = 'Téléphone' WHERE LanguageTag = 'telefono'</v>
      </c>
      <c r="R137" s="5" t="str">
        <f>CONCATENATE("UPDATE ",Database_ESP[[#This Row],[Table]]," SET ",Database_ESP[[#This Row],[Column]]," = '",Database_ESP[[#This Row],[IT]],"' WHERE LanguageTag = '",Database_ESP[[#This Row],[Tag]],"'")</f>
        <v>UPDATE sysrouserfields SET fieldname = 'Telefono' WHERE LanguageTag = 'telefono'</v>
      </c>
      <c r="S137" s="5" t="str">
        <f>CONCATENATE("UPDATE ",Database_ESP[[#This Row],[Table]]," SET ",Database_ESP[[#This Row],[Column]]," = '",Database_ESP[[#This Row],[SK]],"' WHERE LanguageTag = '",Database_ESP[[#This Row],[Tag]],"'")</f>
        <v>UPDATE sysrouserfields SET fieldname = 'Telefón' WHERE LanguageTag = 'telefono'</v>
      </c>
    </row>
    <row r="138" spans="1:19" ht="75" x14ac:dyDescent="0.25">
      <c r="A138" s="2" t="s">
        <v>704</v>
      </c>
      <c r="B138" s="2" t="str">
        <f t="shared" si="22"/>
        <v>RES_database_one.sysrouserfields.tipodecontrato.category.rotext</v>
      </c>
      <c r="C138" s="2" t="str">
        <f t="shared" si="18"/>
        <v>sysrouserfields</v>
      </c>
      <c r="D138" s="2" t="str">
        <f t="shared" si="19"/>
        <v>tipodecontrato</v>
      </c>
      <c r="E138" s="2" t="str">
        <f t="shared" si="20"/>
        <v>category</v>
      </c>
      <c r="F138" s="2" t="str">
        <f t="shared" si="21"/>
        <v>Laboral</v>
      </c>
      <c r="G138" s="1" t="s">
        <v>106</v>
      </c>
      <c r="H138" s="1" t="s">
        <v>181</v>
      </c>
      <c r="I138" s="1" t="s">
        <v>106</v>
      </c>
      <c r="J138" s="1" t="s">
        <v>576</v>
      </c>
      <c r="K138" s="1" t="s">
        <v>291</v>
      </c>
      <c r="L138" s="1" t="s">
        <v>367</v>
      </c>
      <c r="M138" s="1" t="s">
        <v>445</v>
      </c>
      <c r="N138" s="5" t="str">
        <f>CONCATENATE("UPDATE ",Database_ESP[[#This Row],[Table]]," SET ",Database_ESP[[#This Row],[Column]]," = '",Database_ESP[[#This Row],[POR.XAVI.INICIAL]],"' WHERE LanguageTag = '",Database_ESP[[#This Row],[Tag]],"'")</f>
        <v>UPDATE sysrouserfields SET category = 'Suplementos ao salário anual' WHERE LanguageTag = 'tipodecontrato'</v>
      </c>
      <c r="O138" s="5" t="str">
        <f>CONCATENATE("UPDATE ",Database_ESP[[#This Row],[Table]]," SET ",Database_ESP[[#This Row],[Column]]," = '",Database_ESP[[#This Row],[ESP]],"' WHERE LanguageTag = '",Database_ESP[[#This Row],[Tag]],"'")</f>
        <v>UPDATE sysrouserfields SET category = 'Laboral' WHERE LanguageTag = 'tipodecontrato'</v>
      </c>
      <c r="P138" s="5" t="str">
        <f>CONCATENATE("UPDATE ",Database_ESP[[#This Row],[Table]]," SET ",Database_ESP[[#This Row],[Column]]," = '",Database_ESP[[#This Row],[ENG]],"' WHERE LanguageTag = '",Database_ESP[[#This Row],[Tag]],"'")</f>
        <v>UPDATE sysrouserfields SET category = 'Labor' WHERE LanguageTag = 'tipodecontrato'</v>
      </c>
      <c r="Q138" s="5" t="str">
        <f>CONCATENATE("UPDATE ",Database_ESP[[#This Row],[Table]]," SET ",Database_ESP[[#This Row],[Column]]," = '",Database_ESP[[#This Row],[FR]],"' WHERE LanguageTag = '",Database_ESP[[#This Row],[Tag]],"'")</f>
        <v>UPDATE sysrouserfields SET category = 'Professionnel' WHERE LanguageTag = 'tipodecontrato'</v>
      </c>
      <c r="R138" s="5" t="str">
        <f>CONCATENATE("UPDATE ",Database_ESP[[#This Row],[Table]]," SET ",Database_ESP[[#This Row],[Column]]," = '",Database_ESP[[#This Row],[IT]],"' WHERE LanguageTag = '",Database_ESP[[#This Row],[Tag]],"'")</f>
        <v>UPDATE sysrouserfields SET category = 'Lavorativo' WHERE LanguageTag = 'tipodecontrato'</v>
      </c>
      <c r="S138" s="5" t="str">
        <f>CONCATENATE("UPDATE ",Database_ESP[[#This Row],[Table]]," SET ",Database_ESP[[#This Row],[Column]]," = '",Database_ESP[[#This Row],[SK]],"' WHERE LanguageTag = '",Database_ESP[[#This Row],[Tag]],"'")</f>
        <v>UPDATE sysrouserfields SET category = 'Práca' WHERE LanguageTag = 'tipodecontrato'</v>
      </c>
    </row>
    <row r="139" spans="1:19" ht="30" x14ac:dyDescent="0.25">
      <c r="A139" s="2" t="s">
        <v>705</v>
      </c>
      <c r="B139" s="2" t="str">
        <f t="shared" si="22"/>
        <v>RES_database_one.sysrouserfields.tipodecontrato.fieldname.rotext</v>
      </c>
      <c r="C139" s="2" t="str">
        <f t="shared" si="18"/>
        <v>sysrouserfields</v>
      </c>
      <c r="D139" s="2" t="str">
        <f t="shared" si="19"/>
        <v>tipodecontrato</v>
      </c>
      <c r="E139" s="2" t="str">
        <f t="shared" si="20"/>
        <v>fieldname</v>
      </c>
      <c r="F139" s="2" t="str">
        <f t="shared" si="21"/>
        <v>Tipo de contrato</v>
      </c>
      <c r="G139" s="1" t="s">
        <v>6</v>
      </c>
      <c r="H139" s="1" t="s">
        <v>40</v>
      </c>
      <c r="I139" s="1" t="s">
        <v>6</v>
      </c>
      <c r="J139" s="1" t="s">
        <v>242</v>
      </c>
      <c r="K139" s="1" t="s">
        <v>320</v>
      </c>
      <c r="L139" s="1" t="s">
        <v>396</v>
      </c>
      <c r="M139" s="1" t="s">
        <v>474</v>
      </c>
      <c r="N139" s="5" t="str">
        <f>CONCATENATE("UPDATE ",Database_ESP[[#This Row],[Table]]," SET ",Database_ESP[[#This Row],[Column]]," = '",Database_ESP[[#This Row],[POR.XAVI.INICIAL]],"' WHERE LanguageTag = '",Database_ESP[[#This Row],[Tag]],"'")</f>
        <v>UPDATE sysrouserfields SET fieldname = 'VisualTime' WHERE LanguageTag = 'tipodecontrato'</v>
      </c>
      <c r="O139" s="5" t="str">
        <f>CONCATENATE("UPDATE ",Database_ESP[[#This Row],[Table]]," SET ",Database_ESP[[#This Row],[Column]]," = '",Database_ESP[[#This Row],[ESP]],"' WHERE LanguageTag = '",Database_ESP[[#This Row],[Tag]],"'")</f>
        <v>UPDATE sysrouserfields SET fieldname = 'Tipo de contrato' WHERE LanguageTag = 'tipodecontrato'</v>
      </c>
      <c r="P139" s="5" t="str">
        <f>CONCATENATE("UPDATE ",Database_ESP[[#This Row],[Table]]," SET ",Database_ESP[[#This Row],[Column]]," = '",Database_ESP[[#This Row],[ENG]],"' WHERE LanguageTag = '",Database_ESP[[#This Row],[Tag]],"'")</f>
        <v>UPDATE sysrouserfields SET fieldname = 'Type of contract' WHERE LanguageTag = 'tipodecontrato'</v>
      </c>
      <c r="Q139" s="5" t="str">
        <f>CONCATENATE("UPDATE ",Database_ESP[[#This Row],[Table]]," SET ",Database_ESP[[#This Row],[Column]]," = '",Database_ESP[[#This Row],[FR]],"' WHERE LanguageTag = '",Database_ESP[[#This Row],[Tag]],"'")</f>
        <v>UPDATE sysrouserfields SET fieldname = 'Type de contrat' WHERE LanguageTag = 'tipodecontrato'</v>
      </c>
      <c r="R139" s="5" t="str">
        <f>CONCATENATE("UPDATE ",Database_ESP[[#This Row],[Table]]," SET ",Database_ESP[[#This Row],[Column]]," = '",Database_ESP[[#This Row],[IT]],"' WHERE LanguageTag = '",Database_ESP[[#This Row],[Tag]],"'")</f>
        <v>UPDATE sysrouserfields SET fieldname = 'Tipo di contratto' WHERE LanguageTag = 'tipodecontrato'</v>
      </c>
      <c r="S139" s="5" t="str">
        <f>CONCATENATE("UPDATE ",Database_ESP[[#This Row],[Table]]," SET ",Database_ESP[[#This Row],[Column]]," = '",Database_ESP[[#This Row],[SK]],"' WHERE LanguageTag = '",Database_ESP[[#This Row],[Tag]],"'")</f>
        <v>UPDATE sysrouserfields SET fieldname = 'Typ zmluvy' WHERE LanguageTag = 'tipodecontrato'</v>
      </c>
    </row>
    <row r="140" spans="1:19" ht="75" x14ac:dyDescent="0.25">
      <c r="A140" s="2" t="s">
        <v>879</v>
      </c>
      <c r="B140" s="2" t="str">
        <f t="shared" si="22"/>
        <v>RES_database_one.sysrouserfields.tipodecontrato.listvalues.rotext</v>
      </c>
      <c r="C140" s="2" t="str">
        <f t="shared" si="18"/>
        <v>sysrouserfields</v>
      </c>
      <c r="D140" s="2" t="str">
        <f t="shared" si="19"/>
        <v>tipodecontrato</v>
      </c>
      <c r="E140" s="2" t="str">
        <f t="shared" si="20"/>
        <v>listvalues</v>
      </c>
      <c r="F140" s="2" t="str">
        <f t="shared" si="21"/>
        <v>En prácticas~Indefinido~Temporal</v>
      </c>
      <c r="G140" s="1" t="s">
        <v>103</v>
      </c>
      <c r="H140" s="1" t="s">
        <v>212</v>
      </c>
      <c r="I140" s="1" t="s">
        <v>496</v>
      </c>
      <c r="J140" s="1" t="s">
        <v>591</v>
      </c>
      <c r="K140" s="1" t="s">
        <v>321</v>
      </c>
      <c r="L140" s="1" t="s">
        <v>397</v>
      </c>
      <c r="M140" s="1" t="s">
        <v>475</v>
      </c>
      <c r="N140" s="5" t="str">
        <f>CONCATENATE("UPDATE ",Database_ESP[[#This Row],[Table]]," SET ",Database_ESP[[#This Row],[Column]]," = '",Database_ESP[[#This Row],[POR.XAVI.INICIAL]],"' WHERE LanguageTag = '",Database_ESP[[#This Row],[Tag]],"'")</f>
        <v>UPDATE sysrouserfields SET listvalues = 'Endereço de correio eletrónico' WHERE LanguageTag = 'tipodecontrato'</v>
      </c>
      <c r="O140" s="5" t="str">
        <f>CONCATENATE("UPDATE ",Database_ESP[[#This Row],[Table]]," SET ",Database_ESP[[#This Row],[Column]]," = '",Database_ESP[[#This Row],[ESP]],"' WHERE LanguageTag = '",Database_ESP[[#This Row],[Tag]],"'")</f>
        <v>UPDATE sysrouserfields SET listvalues = 'En prácticas~Indefinido~Temporal' WHERE LanguageTag = 'tipodecontrato'</v>
      </c>
      <c r="P140" s="5" t="str">
        <f>CONCATENATE("UPDATE ",Database_ESP[[#This Row],[Table]]," SET ",Database_ESP[[#This Row],[Column]]," = '",Database_ESP[[#This Row],[ENG]],"' WHERE LanguageTag = '",Database_ESP[[#This Row],[Tag]],"'")</f>
        <v>UPDATE sysrouserfields SET listvalues = 'Internship~Indefinite~Temporary' WHERE LanguageTag = 'tipodecontrato'</v>
      </c>
      <c r="Q140" s="5" t="str">
        <f>CONCATENATE("UPDATE ",Database_ESP[[#This Row],[Table]]," SET ",Database_ESP[[#This Row],[Column]]," = '",Database_ESP[[#This Row],[FR]],"' WHERE LanguageTag = '",Database_ESP[[#This Row],[Tag]],"'")</f>
        <v>UPDATE sysrouserfields SET listvalues = 'Stagiaire~Indefini~Temporaire' WHERE LanguageTag = 'tipodecontrato'</v>
      </c>
      <c r="R140" s="5" t="str">
        <f>CONCATENATE("UPDATE ",Database_ESP[[#This Row],[Table]]," SET ",Database_ESP[[#This Row],[Column]]," = '",Database_ESP[[#This Row],[IT]],"' WHERE LanguageTag = '",Database_ESP[[#This Row],[Tag]],"'")</f>
        <v>UPDATE sysrouserfields SET listvalues = 'Apprendista~Indefinito~Temporaneo' WHERE LanguageTag = 'tipodecontrato'</v>
      </c>
      <c r="S140" s="5" t="str">
        <f>CONCATENATE("UPDATE ",Database_ESP[[#This Row],[Table]]," SET ",Database_ESP[[#This Row],[Column]]," = '",Database_ESP[[#This Row],[SK]],"' WHERE LanguageTag = '",Database_ESP[[#This Row],[Tag]],"'")</f>
        <v>UPDATE sysrouserfields SET listvalues = 'Stážista~Na dobu neurčitú~Dočasne' WHERE LanguageTag = 'tipodecontrato'</v>
      </c>
    </row>
    <row r="141" spans="1:19" ht="30" x14ac:dyDescent="0.25">
      <c r="A141" s="2" t="s">
        <v>706</v>
      </c>
      <c r="B141" s="2" t="str">
        <f t="shared" si="22"/>
        <v>RES_database_one.sysrouserfields.valorinicialdevacaciones.category.rotext</v>
      </c>
      <c r="C141" s="2" t="str">
        <f t="shared" si="18"/>
        <v>sysrouserfields</v>
      </c>
      <c r="D141" s="2" t="str">
        <f t="shared" si="19"/>
        <v>valorinicialdevacaciones</v>
      </c>
      <c r="E141" s="2" t="str">
        <f t="shared" si="20"/>
        <v>category</v>
      </c>
      <c r="F141" s="2" t="str">
        <f t="shared" si="21"/>
        <v>Laboral</v>
      </c>
      <c r="G141" s="1" t="s">
        <v>106</v>
      </c>
      <c r="H141" s="1" t="s">
        <v>40</v>
      </c>
      <c r="I141" s="1" t="s">
        <v>106</v>
      </c>
      <c r="J141" s="1" t="s">
        <v>576</v>
      </c>
      <c r="K141" s="1" t="s">
        <v>291</v>
      </c>
      <c r="L141" s="1" t="s">
        <v>367</v>
      </c>
      <c r="M141" s="1" t="s">
        <v>445</v>
      </c>
      <c r="N141" s="5" t="str">
        <f>CONCATENATE("UPDATE ",Database_ESP[[#This Row],[Table]]," SET ",Database_ESP[[#This Row],[Column]]," = '",Database_ESP[[#This Row],[POR.XAVI.INICIAL]],"' WHERE LanguageTag = '",Database_ESP[[#This Row],[Tag]],"'")</f>
        <v>UPDATE sysrouserfields SET category = 'VisualTime' WHERE LanguageTag = 'valorinicialdevacaciones'</v>
      </c>
      <c r="O141" s="5" t="str">
        <f>CONCATENATE("UPDATE ",Database_ESP[[#This Row],[Table]]," SET ",Database_ESP[[#This Row],[Column]]," = '",Database_ESP[[#This Row],[ESP]],"' WHERE LanguageTag = '",Database_ESP[[#This Row],[Tag]],"'")</f>
        <v>UPDATE sysrouserfields SET category = 'Laboral' WHERE LanguageTag = 'valorinicialdevacaciones'</v>
      </c>
      <c r="P141" s="5" t="str">
        <f>CONCATENATE("UPDATE ",Database_ESP[[#This Row],[Table]]," SET ",Database_ESP[[#This Row],[Column]]," = '",Database_ESP[[#This Row],[ENG]],"' WHERE LanguageTag = '",Database_ESP[[#This Row],[Tag]],"'")</f>
        <v>UPDATE sysrouserfields SET category = 'Labor' WHERE LanguageTag = 'valorinicialdevacaciones'</v>
      </c>
      <c r="Q141" s="5" t="str">
        <f>CONCATENATE("UPDATE ",Database_ESP[[#This Row],[Table]]," SET ",Database_ESP[[#This Row],[Column]]," = '",Database_ESP[[#This Row],[FR]],"' WHERE LanguageTag = '",Database_ESP[[#This Row],[Tag]],"'")</f>
        <v>UPDATE sysrouserfields SET category = 'Professionnel' WHERE LanguageTag = 'valorinicialdevacaciones'</v>
      </c>
      <c r="R141" s="5" t="str">
        <f>CONCATENATE("UPDATE ",Database_ESP[[#This Row],[Table]]," SET ",Database_ESP[[#This Row],[Column]]," = '",Database_ESP[[#This Row],[IT]],"' WHERE LanguageTag = '",Database_ESP[[#This Row],[Tag]],"'")</f>
        <v>UPDATE sysrouserfields SET category = 'Lavorativo' WHERE LanguageTag = 'valorinicialdevacaciones'</v>
      </c>
      <c r="S141" s="5" t="str">
        <f>CONCATENATE("UPDATE ",Database_ESP[[#This Row],[Table]]," SET ",Database_ESP[[#This Row],[Column]]," = '",Database_ESP[[#This Row],[SK]],"' WHERE LanguageTag = '",Database_ESP[[#This Row],[Tag]],"'")</f>
        <v>UPDATE sysrouserfields SET category = 'Práca' WHERE LanguageTag = 'valorinicialdevacaciones'</v>
      </c>
    </row>
    <row r="142" spans="1:19" ht="30" x14ac:dyDescent="0.25">
      <c r="A142" s="2" t="s">
        <v>880</v>
      </c>
      <c r="B142" s="2" t="str">
        <f t="shared" ref="B142:B147" si="23">LEFT(A142,SEARCH("=",A142)-1)</f>
        <v>RES_database_one.sysrouserfields.valorinicialdevacaciones.fieldname.rotext</v>
      </c>
      <c r="C142" s="2" t="str">
        <f t="shared" ref="C142:C147" si="24">MID(B142, FIND(".", B142) + 1, FIND(".", B142, FIND(".", B142) + 1) - FIND(".", B142) - 1)</f>
        <v>sysrouserfields</v>
      </c>
      <c r="D142" s="2" t="str">
        <f t="shared" ref="D142:D147" si="25">MID(B142, FIND(".", B142, FIND(".", B142) + 1) + 1, FIND(".", B142, FIND(".", B142, FIND(".", B142) + 1) + 1) - FIND(".", B142, FIND(".", B142) + 1) - 1)</f>
        <v>valorinicialdevacaciones</v>
      </c>
      <c r="E142" s="2" t="str">
        <f t="shared" ref="E142:E147" si="26">MID(B142, FIND(".", B142, FIND(".", B142, FIND(".", B142) + 1) + 1) + 1, FIND(".", B142, FIND(".", B142, FIND(".", B142, FIND(".", B142) + 1) + 1) + 1) - FIND(".", B142, FIND(".", B142, FIND(".", B142) + 1) + 1) - 1)</f>
        <v>fieldname</v>
      </c>
      <c r="F142" s="2" t="str">
        <f t="shared" si="21"/>
        <v xml:space="preserve">Valor inicial de vacaciones </v>
      </c>
      <c r="G142" s="1" t="s">
        <v>915</v>
      </c>
      <c r="H142" s="1" t="s">
        <v>136</v>
      </c>
      <c r="I142" s="1" t="s">
        <v>769</v>
      </c>
      <c r="J142" s="1" t="s">
        <v>592</v>
      </c>
      <c r="K142" s="1" t="s">
        <v>656</v>
      </c>
      <c r="L142" s="1" t="s">
        <v>689</v>
      </c>
      <c r="M142" s="1" t="s">
        <v>625</v>
      </c>
      <c r="N142" s="5" t="str">
        <f>CONCATENATE("UPDATE ",Database_ESP[[#This Row],[Table]]," SET ",Database_ESP[[#This Row],[Column]]," = '",Database_ESP[[#This Row],[POR.XAVI.INICIAL]],"' WHERE LanguageTag = '",Database_ESP[[#This Row],[Tag]],"'")</f>
        <v>UPDATE sysrouserfields SET fieldname = 'Custo RH' WHERE LanguageTag = 'valorinicialdevacaciones'</v>
      </c>
      <c r="O142" s="5" t="str">
        <f>CONCATENATE("UPDATE ",Database_ESP[[#This Row],[Table]]," SET ",Database_ESP[[#This Row],[Column]]," = '",Database_ESP[[#This Row],[ESP]],"' WHERE LanguageTag = '",Database_ESP[[#This Row],[Tag]],"'")</f>
        <v>UPDATE sysrouserfields SET fieldname = 'Valor inicial de vacaciones ' WHERE LanguageTag = 'valorinicialdevacaciones'</v>
      </c>
      <c r="P142" s="5" t="str">
        <f>CONCATENATE("UPDATE ",Database_ESP[[#This Row],[Table]]," SET ",Database_ESP[[#This Row],[Column]]," = '",Database_ESP[[#This Row],[ENG]],"' WHERE LanguageTag = '",Database_ESP[[#This Row],[Tag]],"'")</f>
        <v>UPDATE sysrouserfields SET fieldname = 'Initial vacation value' WHERE LanguageTag = 'valorinicialdevacaciones'</v>
      </c>
      <c r="Q142" s="5" t="str">
        <f>CONCATENATE("UPDATE ",Database_ESP[[#This Row],[Table]]," SET ",Database_ESP[[#This Row],[Column]]," = '",Database_ESP[[#This Row],[FR]],"' WHERE LanguageTag = '",Database_ESP[[#This Row],[Tag]],"'")</f>
        <v>UPDATE sysrouserfields SET fieldname = 'Valeur initiale des vacances' WHERE LanguageTag = 'valorinicialdevacaciones'</v>
      </c>
      <c r="R142" s="5" t="str">
        <f>CONCATENATE("UPDATE ",Database_ESP[[#This Row],[Table]]," SET ",Database_ESP[[#This Row],[Column]]," = '",Database_ESP[[#This Row],[IT]],"' WHERE LanguageTag = '",Database_ESP[[#This Row],[Tag]],"'")</f>
        <v>UPDATE sysrouserfields SET fieldname = 'Valore iniziale della vacanza' WHERE LanguageTag = 'valorinicialdevacaciones'</v>
      </c>
      <c r="S142" s="5" t="str">
        <f>CONCATENATE("UPDATE ",Database_ESP[[#This Row],[Table]]," SET ",Database_ESP[[#This Row],[Column]]," = '",Database_ESP[[#This Row],[SK]],"' WHERE LanguageTag = '",Database_ESP[[#This Row],[Tag]],"'")</f>
        <v>UPDATE sysrouserfields SET fieldname = 'Počiatočná hodnota dovolenky' WHERE LanguageTag = 'valorinicialdevacaciones'</v>
      </c>
    </row>
    <row r="143" spans="1:19" ht="30" x14ac:dyDescent="0.25">
      <c r="A143" s="2" t="s">
        <v>881</v>
      </c>
      <c r="B143" s="2" t="str">
        <f t="shared" si="23"/>
        <v>RES_database_one.timezones.horasconremuneracionespecial.name.rotext</v>
      </c>
      <c r="C143" s="2" t="str">
        <f t="shared" si="24"/>
        <v>timezones</v>
      </c>
      <c r="D143" s="2" t="str">
        <f t="shared" si="25"/>
        <v>horasconremuneracionespecial</v>
      </c>
      <c r="E143" s="2" t="str">
        <f t="shared" si="26"/>
        <v>name</v>
      </c>
      <c r="F143" s="2" t="str">
        <f t="shared" si="21"/>
        <v>Horas con remuneración especial</v>
      </c>
      <c r="G143" s="1" t="s">
        <v>69</v>
      </c>
      <c r="H143" s="1" t="s">
        <v>40</v>
      </c>
      <c r="I143" s="1" t="s">
        <v>497</v>
      </c>
      <c r="J143" s="1" t="s">
        <v>243</v>
      </c>
      <c r="K143" s="1" t="s">
        <v>322</v>
      </c>
      <c r="L143" s="1" t="s">
        <v>398</v>
      </c>
      <c r="M143" s="1" t="s">
        <v>476</v>
      </c>
      <c r="N143" s="5" t="str">
        <f>CONCATENATE("UPDATE ",Database_ESP[[#This Row],[Table]]," SET ",Database_ESP[[#This Row],[Column]]," = '",Database_ESP[[#This Row],[POR.XAVI.INICIAL]],"' WHERE LanguageTag = '",Database_ESP[[#This Row],[Tag]],"'")</f>
        <v>UPDATE timezones SET name = 'VisualTime' WHERE LanguageTag = 'horasconremuneracionespecial'</v>
      </c>
      <c r="O143" s="5" t="str">
        <f>CONCATENATE("UPDATE ",Database_ESP[[#This Row],[Table]]," SET ",Database_ESP[[#This Row],[Column]]," = '",Database_ESP[[#This Row],[ESP]],"' WHERE LanguageTag = '",Database_ESP[[#This Row],[Tag]],"'")</f>
        <v>UPDATE timezones SET name = 'Horas con remuneración especial' WHERE LanguageTag = 'horasconremuneracionespecial'</v>
      </c>
      <c r="P143" s="5" t="str">
        <f>CONCATENATE("UPDATE ",Database_ESP[[#This Row],[Table]]," SET ",Database_ESP[[#This Row],[Column]]," = '",Database_ESP[[#This Row],[ENG]],"' WHERE LanguageTag = '",Database_ESP[[#This Row],[Tag]],"'")</f>
        <v>UPDATE timezones SET name = 'Hours with special remuneration' WHERE LanguageTag = 'horasconremuneracionespecial'</v>
      </c>
      <c r="Q143" s="5" t="str">
        <f>CONCATENATE("UPDATE ",Database_ESP[[#This Row],[Table]]," SET ",Database_ESP[[#This Row],[Column]]," = '",Database_ESP[[#This Row],[FR]],"' WHERE LanguageTag = '",Database_ESP[[#This Row],[Tag]],"'")</f>
        <v>UPDATE timezones SET name = 'Heures avec rémunération spéciale' WHERE LanguageTag = 'horasconremuneracionespecial'</v>
      </c>
      <c r="R143" s="5" t="str">
        <f>CONCATENATE("UPDATE ",Database_ESP[[#This Row],[Table]]," SET ",Database_ESP[[#This Row],[Column]]," = '",Database_ESP[[#This Row],[IT]],"' WHERE LanguageTag = '",Database_ESP[[#This Row],[Tag]],"'")</f>
        <v>UPDATE timezones SET name = 'Ore con retribuzione speciale' WHERE LanguageTag = 'horasconremuneracionespecial'</v>
      </c>
      <c r="S143" s="5" t="str">
        <f>CONCATENATE("UPDATE ",Database_ESP[[#This Row],[Table]]," SET ",Database_ESP[[#This Row],[Column]]," = '",Database_ESP[[#This Row],[SK]],"' WHERE LanguageTag = '",Database_ESP[[#This Row],[Tag]],"'")</f>
        <v>UPDATE timezones SET name = 'Hodiny s osobitnou odmenou' WHERE LanguageTag = 'horasconremuneracionespecial'</v>
      </c>
    </row>
    <row r="144" spans="1:19" ht="45" x14ac:dyDescent="0.25">
      <c r="A144" s="2" t="s">
        <v>882</v>
      </c>
      <c r="B144" s="2" t="str">
        <f t="shared" si="23"/>
        <v>RES_database_one.timezones.horasnocturnas.name.rotext</v>
      </c>
      <c r="C144" s="2" t="str">
        <f t="shared" si="24"/>
        <v>timezones</v>
      </c>
      <c r="D144" s="2" t="str">
        <f t="shared" si="25"/>
        <v>horasnocturnas</v>
      </c>
      <c r="E144" s="2" t="str">
        <f t="shared" si="26"/>
        <v>name</v>
      </c>
      <c r="F144" s="2" t="str">
        <f t="shared" si="21"/>
        <v>Horas nocturnas</v>
      </c>
      <c r="G144" s="1" t="s">
        <v>2</v>
      </c>
      <c r="H144" s="1" t="s">
        <v>28</v>
      </c>
      <c r="I144" s="1" t="s">
        <v>770</v>
      </c>
      <c r="J144" s="1" t="s">
        <v>244</v>
      </c>
      <c r="K144" s="1" t="s">
        <v>323</v>
      </c>
      <c r="L144" s="1" t="s">
        <v>399</v>
      </c>
      <c r="M144" s="1" t="s">
        <v>477</v>
      </c>
      <c r="N144" s="5" t="str">
        <f>CONCATENATE("UPDATE ",Database_ESP[[#This Row],[Table]]," SET ",Database_ESP[[#This Row],[Column]]," = '",Database_ESP[[#This Row],[POR.XAVI.INICIAL]],"' WHERE LanguageTag = '",Database_ESP[[#This Row],[Tag]],"'")</f>
        <v>UPDATE timezones SET name = 'Custo por hora' WHERE LanguageTag = 'horasnocturnas'</v>
      </c>
      <c r="O144" s="5" t="str">
        <f>CONCATENATE("UPDATE ",Database_ESP[[#This Row],[Table]]," SET ",Database_ESP[[#This Row],[Column]]," = '",Database_ESP[[#This Row],[ESP]],"' WHERE LanguageTag = '",Database_ESP[[#This Row],[Tag]],"'")</f>
        <v>UPDATE timezones SET name = 'Horas nocturnas' WHERE LanguageTag = 'horasnocturnas'</v>
      </c>
      <c r="P144" s="5" t="str">
        <f>CONCATENATE("UPDATE ",Database_ESP[[#This Row],[Table]]," SET ",Database_ESP[[#This Row],[Column]]," = '",Database_ESP[[#This Row],[ENG]],"' WHERE LanguageTag = '",Database_ESP[[#This Row],[Tag]],"'")</f>
        <v>UPDATE timezones SET name = 'Night hours' WHERE LanguageTag = 'horasnocturnas'</v>
      </c>
      <c r="Q144" s="5" t="str">
        <f>CONCATENATE("UPDATE ",Database_ESP[[#This Row],[Table]]," SET ",Database_ESP[[#This Row],[Column]]," = '",Database_ESP[[#This Row],[FR]],"' WHERE LanguageTag = '",Database_ESP[[#This Row],[Tag]],"'")</f>
        <v>UPDATE timezones SET name = 'Heures de nuit' WHERE LanguageTag = 'horasnocturnas'</v>
      </c>
      <c r="R144" s="5" t="str">
        <f>CONCATENATE("UPDATE ",Database_ESP[[#This Row],[Table]]," SET ",Database_ESP[[#This Row],[Column]]," = '",Database_ESP[[#This Row],[IT]],"' WHERE LanguageTag = '",Database_ESP[[#This Row],[Tag]],"'")</f>
        <v>UPDATE timezones SET name = 'Orario notturno' WHERE LanguageTag = 'horasnocturnas'</v>
      </c>
      <c r="S144" s="5" t="str">
        <f>CONCATENATE("UPDATE ",Database_ESP[[#This Row],[Table]]," SET ",Database_ESP[[#This Row],[Column]]," = '",Database_ESP[[#This Row],[SK]],"' WHERE LanguageTag = '",Database_ESP[[#This Row],[Tag]],"'")</f>
        <v>UPDATE timezones SET name = 'Nočné hodiny' WHERE LanguageTag = 'horasnocturnas'</v>
      </c>
    </row>
    <row r="145" spans="1:19" ht="30" x14ac:dyDescent="0.25">
      <c r="A145" s="2" t="s">
        <v>883</v>
      </c>
      <c r="B145" s="2" t="str">
        <f t="shared" si="23"/>
        <v>RES_database_one.timezones.horasnormales.name.rotext</v>
      </c>
      <c r="C145" s="2" t="str">
        <f t="shared" si="24"/>
        <v>timezones</v>
      </c>
      <c r="D145" s="2" t="str">
        <f t="shared" si="25"/>
        <v>horasnormales</v>
      </c>
      <c r="E145" s="2" t="str">
        <f t="shared" si="26"/>
        <v>name</v>
      </c>
      <c r="F145" s="2" t="str">
        <f t="shared" si="21"/>
        <v>Horas normales</v>
      </c>
      <c r="G145" s="1" t="s">
        <v>68</v>
      </c>
      <c r="H145" s="1" t="s">
        <v>40</v>
      </c>
      <c r="I145" s="1" t="s">
        <v>182</v>
      </c>
      <c r="J145" s="1" t="s">
        <v>245</v>
      </c>
      <c r="K145" s="1" t="s">
        <v>255</v>
      </c>
      <c r="L145" s="1" t="s">
        <v>400</v>
      </c>
      <c r="M145" s="1" t="s">
        <v>409</v>
      </c>
      <c r="N145" s="5" t="str">
        <f>CONCATENATE("UPDATE ",Database_ESP[[#This Row],[Table]]," SET ",Database_ESP[[#This Row],[Column]]," = '",Database_ESP[[#This Row],[POR.XAVI.INICIAL]],"' WHERE LanguageTag = '",Database_ESP[[#This Row],[Tag]],"'")</f>
        <v>UPDATE timezones SET name = 'VisualTime' WHERE LanguageTag = 'horasnormales'</v>
      </c>
      <c r="O145" s="5" t="str">
        <f>CONCATENATE("UPDATE ",Database_ESP[[#This Row],[Table]]," SET ",Database_ESP[[#This Row],[Column]]," = '",Database_ESP[[#This Row],[ESP]],"' WHERE LanguageTag = '",Database_ESP[[#This Row],[Tag]],"'")</f>
        <v>UPDATE timezones SET name = 'Horas normales' WHERE LanguageTag = 'horasnormales'</v>
      </c>
      <c r="P145" s="5" t="str">
        <f>CONCATENATE("UPDATE ",Database_ESP[[#This Row],[Table]]," SET ",Database_ESP[[#This Row],[Column]]," = '",Database_ESP[[#This Row],[ENG]],"' WHERE LanguageTag = '",Database_ESP[[#This Row],[Tag]],"'")</f>
        <v>UPDATE timezones SET name = 'Normal hours' WHERE LanguageTag = 'horasnormales'</v>
      </c>
      <c r="Q145" s="5" t="str">
        <f>CONCATENATE("UPDATE ",Database_ESP[[#This Row],[Table]]," SET ",Database_ESP[[#This Row],[Column]]," = '",Database_ESP[[#This Row],[FR]],"' WHERE LanguageTag = '",Database_ESP[[#This Row],[Tag]],"'")</f>
        <v>UPDATE timezones SET name = 'Heures normales' WHERE LanguageTag = 'horasnormales'</v>
      </c>
      <c r="R145" s="5" t="str">
        <f>CONCATENATE("UPDATE ",Database_ESP[[#This Row],[Table]]," SET ",Database_ESP[[#This Row],[Column]]," = '",Database_ESP[[#This Row],[IT]],"' WHERE LanguageTag = '",Database_ESP[[#This Row],[Tag]],"'")</f>
        <v>UPDATE timezones SET name = 'Orario normale' WHERE LanguageTag = 'horasnormales'</v>
      </c>
      <c r="S145" s="5" t="str">
        <f>CONCATENATE("UPDATE ",Database_ESP[[#This Row],[Table]]," SET ",Database_ESP[[#This Row],[Column]]," = '",Database_ESP[[#This Row],[SK]],"' WHERE LanguageTag = '",Database_ESP[[#This Row],[Tag]],"'")</f>
        <v>UPDATE timezones SET name = 'Bežné hodiny' WHERE LanguageTag = 'horasnormales'</v>
      </c>
    </row>
    <row r="146" spans="1:19" ht="45" x14ac:dyDescent="0.25">
      <c r="A146" s="2" t="s">
        <v>707</v>
      </c>
      <c r="B146" s="2" t="str">
        <f t="shared" si="23"/>
        <v>RES_database_one.zones.ausentes.name.rotext</v>
      </c>
      <c r="C146" s="2" t="str">
        <f t="shared" si="24"/>
        <v>zones</v>
      </c>
      <c r="D146" s="2" t="str">
        <f t="shared" si="25"/>
        <v>ausentes</v>
      </c>
      <c r="E146" s="2" t="str">
        <f t="shared" si="26"/>
        <v>name</v>
      </c>
      <c r="F146" s="2" t="str">
        <f t="shared" si="21"/>
        <v>Ausentes</v>
      </c>
      <c r="G146" s="1" t="s">
        <v>110</v>
      </c>
      <c r="H146" s="1" t="s">
        <v>135</v>
      </c>
      <c r="I146" s="1" t="s">
        <v>110</v>
      </c>
      <c r="J146" s="1" t="s">
        <v>593</v>
      </c>
      <c r="K146" s="1" t="s">
        <v>324</v>
      </c>
      <c r="L146" s="1" t="s">
        <v>401</v>
      </c>
      <c r="M146" s="1" t="s">
        <v>478</v>
      </c>
      <c r="N146" s="5" t="str">
        <f>CONCATENATE("UPDATE ",Database_ESP[[#This Row],[Table]]," SET ",Database_ESP[[#This Row],[Column]]," = '",Database_ESP[[#This Row],[POR.XAVI.INICIAL]],"' WHERE LanguageTag = '",Database_ESP[[#This Row],[Tag]],"'")</f>
        <v>UPDATE zones SET name = 'Dias de férias anuais' WHERE LanguageTag = 'ausentes'</v>
      </c>
      <c r="O146" s="5" t="str">
        <f>CONCATENATE("UPDATE ",Database_ESP[[#This Row],[Table]]," SET ",Database_ESP[[#This Row],[Column]]," = '",Database_ESP[[#This Row],[ESP]],"' WHERE LanguageTag = '",Database_ESP[[#This Row],[Tag]],"'")</f>
        <v>UPDATE zones SET name = 'Ausentes' WHERE LanguageTag = 'ausentes'</v>
      </c>
      <c r="P146" s="5" t="str">
        <f>CONCATENATE("UPDATE ",Database_ESP[[#This Row],[Table]]," SET ",Database_ESP[[#This Row],[Column]]," = '",Database_ESP[[#This Row],[ENG]],"' WHERE LanguageTag = '",Database_ESP[[#This Row],[Tag]],"'")</f>
        <v>UPDATE zones SET name = 'Missing' WHERE LanguageTag = 'ausentes'</v>
      </c>
      <c r="Q146" s="5" t="str">
        <f>CONCATENATE("UPDATE ",Database_ESP[[#This Row],[Table]]," SET ",Database_ESP[[#This Row],[Column]]," = '",Database_ESP[[#This Row],[FR]],"' WHERE LanguageTag = '",Database_ESP[[#This Row],[Tag]],"'")</f>
        <v>UPDATE zones SET name = 'Absents' WHERE LanguageTag = 'ausentes'</v>
      </c>
      <c r="R146" s="5" t="str">
        <f>CONCATENATE("UPDATE ",Database_ESP[[#This Row],[Table]]," SET ",Database_ESP[[#This Row],[Column]]," = '",Database_ESP[[#This Row],[IT]],"' WHERE LanguageTag = '",Database_ESP[[#This Row],[Tag]],"'")</f>
        <v>UPDATE zones SET name = 'Assenti' WHERE LanguageTag = 'ausentes'</v>
      </c>
      <c r="S146" s="5" t="str">
        <f>CONCATENATE("UPDATE ",Database_ESP[[#This Row],[Table]]," SET ",Database_ESP[[#This Row],[Column]]," = '",Database_ESP[[#This Row],[SK]],"' WHERE LanguageTag = '",Database_ESP[[#This Row],[Tag]],"'")</f>
        <v>UPDATE zones SET name = 'Neprítomný' WHERE LanguageTag = 'ausentes'</v>
      </c>
    </row>
    <row r="147" spans="1:19" ht="30" x14ac:dyDescent="0.25">
      <c r="A147" s="2" t="s">
        <v>708</v>
      </c>
      <c r="B147" s="2" t="str">
        <f t="shared" si="23"/>
        <v>RES_database_one.zones.presentes.name.rotext</v>
      </c>
      <c r="C147" s="2" t="str">
        <f t="shared" si="24"/>
        <v>zones</v>
      </c>
      <c r="D147" s="2" t="str">
        <f t="shared" si="25"/>
        <v>presentes</v>
      </c>
      <c r="E147" s="2" t="str">
        <f t="shared" si="26"/>
        <v>name</v>
      </c>
      <c r="F147" s="2" t="str">
        <f t="shared" si="21"/>
        <v>Presentes</v>
      </c>
      <c r="G147" s="1" t="s">
        <v>109</v>
      </c>
      <c r="H147" s="1" t="s">
        <v>38</v>
      </c>
      <c r="I147" s="1" t="s">
        <v>109</v>
      </c>
      <c r="J147" s="1" t="s">
        <v>594</v>
      </c>
      <c r="K147" s="1" t="s">
        <v>325</v>
      </c>
      <c r="L147" s="1" t="s">
        <v>31</v>
      </c>
      <c r="M147" s="1" t="s">
        <v>479</v>
      </c>
      <c r="N147" s="5" t="str">
        <f>CONCATENATE("UPDATE ",Database_ESP[[#This Row],[Table]]," SET ",Database_ESP[[#This Row],[Column]]," = '",Database_ESP[[#This Row],[POR.XAVI.INICIAL]],"' WHERE LanguageTag = '",Database_ESP[[#This Row],[Tag]],"'")</f>
        <v>UPDATE zones SET name = 'Pessoal' WHERE LanguageTag = 'presentes'</v>
      </c>
      <c r="O147" s="5" t="str">
        <f>CONCATENATE("UPDATE ",Database_ESP[[#This Row],[Table]]," SET ",Database_ESP[[#This Row],[Column]]," = '",Database_ESP[[#This Row],[ESP]],"' WHERE LanguageTag = '",Database_ESP[[#This Row],[Tag]],"'")</f>
        <v>UPDATE zones SET name = 'Presentes' WHERE LanguageTag = 'presentes'</v>
      </c>
      <c r="P147" s="5" t="str">
        <f>CONCATENATE("UPDATE ",Database_ESP[[#This Row],[Table]]," SET ",Database_ESP[[#This Row],[Column]]," = '",Database_ESP[[#This Row],[ENG]],"' WHERE LanguageTag = '",Database_ESP[[#This Row],[Tag]],"'")</f>
        <v>UPDATE zones SET name = 'Presents' WHERE LanguageTag = 'presentes'</v>
      </c>
      <c r="Q147" s="5" t="str">
        <f>CONCATENATE("UPDATE ",Database_ESP[[#This Row],[Table]]," SET ",Database_ESP[[#This Row],[Column]]," = '",Database_ESP[[#This Row],[FR]],"' WHERE LanguageTag = '",Database_ESP[[#This Row],[Tag]],"'")</f>
        <v>UPDATE zones SET name = 'Présent' WHERE LanguageTag = 'presentes'</v>
      </c>
      <c r="R147" s="5" t="str">
        <f>CONCATENATE("UPDATE ",Database_ESP[[#This Row],[Table]]," SET ",Database_ESP[[#This Row],[Column]]," = '",Database_ESP[[#This Row],[IT]],"' WHERE LanguageTag = '",Database_ESP[[#This Row],[Tag]],"'")</f>
        <v>UPDATE zones SET name = 'Presente' WHERE LanguageTag = 'presentes'</v>
      </c>
      <c r="S147" s="5" t="str">
        <f>CONCATENATE("UPDATE ",Database_ESP[[#This Row],[Table]]," SET ",Database_ESP[[#This Row],[Column]]," = '",Database_ESP[[#This Row],[SK]],"' WHERE LanguageTag = '",Database_ESP[[#This Row],[Tag]],"'")</f>
        <v>UPDATE zones SET name = 'Súčasnosť' WHERE LanguageTag = 'presentes'</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1ACE-F195-4F9C-815C-32053D6F51DC}">
  <dimension ref="A1"/>
  <sheetViews>
    <sheetView workbookViewId="0"/>
  </sheetViews>
  <sheetFormatPr defaultColWidth="11.425781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FF6BC6-A939-4542-937F-CD9DE02CE2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Database ESP</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Jose-Javier Iglesias Santana</dc:creator>
  <cp:lastModifiedBy>Isidre SANTAULARIA MUIXI</cp:lastModifiedBy>
  <dcterms:created xsi:type="dcterms:W3CDTF">2024-09-13T12:37:39Z</dcterms:created>
  <dcterms:modified xsi:type="dcterms:W3CDTF">2025-05-23T07:35:40Z</dcterms:modified>
</cp:coreProperties>
</file>